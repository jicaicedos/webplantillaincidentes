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CAPACITACION\Formatos\"/>
    </mc:Choice>
  </mc:AlternateContent>
  <xr:revisionPtr revIDLastSave="0" documentId="13_ncr:1_{4D9D534A-EB6F-4727-B255-9C70B4A7EAAE}" xr6:coauthVersionLast="45" xr6:coauthVersionMax="45" xr10:uidLastSave="{00000000-0000-0000-0000-000000000000}"/>
  <bookViews>
    <workbookView xWindow="-120" yWindow="-120" windowWidth="19440" windowHeight="15000" tabRatio="497" firstSheet="1" activeTab="1" xr2:uid="{00000000-000D-0000-FFFF-FFFF00000000}"/>
  </bookViews>
  <sheets>
    <sheet name="Control de Cambios" sheetId="21" state="hidden" r:id="rId1"/>
    <sheet name="Formato" sheetId="7" r:id="rId2"/>
    <sheet name="Instrucciones" sheetId="23" r:id="rId3"/>
    <sheet name="Listas" sheetId="20" state="hidden" r:id="rId4"/>
    <sheet name="Regionales" sheetId="22" state="hidden" r:id="rId5"/>
  </sheets>
  <definedNames>
    <definedName name="Aprendiz">Tabla5[Rol Aprendiz]</definedName>
    <definedName name="Aprendiz_Contrato_Aprendizaje">Tabla44474849[Apre_Contr_apren]</definedName>
    <definedName name="Centro_Acuicola_y_Agroindustrial_de_Gaira">Regionales!$V$3:$V$4</definedName>
    <definedName name="Centro_Agro_Empresarial_y_Acuicola">Regionales!$S$3:$S$12</definedName>
    <definedName name="Centro_Agro_Empresarial_y_Minero">Regionales!$G$3:$G$5</definedName>
    <definedName name="Centro_Agro_Empresarial_y_Turistico_de_los_Andes">Regionales!$AD$3:$AD$12</definedName>
    <definedName name="Centro_Agroecologico_y_Empresarial">Regionales!$P$3:$P$12</definedName>
    <definedName name="Centro_Agroempresarial">Regionales!$M$3:$M$5</definedName>
    <definedName name="Centro_Agroempresarial_y_Desarrollo_Pecuario_del_Huila">Regionales!$U$3:$U$8</definedName>
    <definedName name="Centro_Agroforestal_y_Acuicola_Arapaima">Regionales!$Z$3</definedName>
    <definedName name="Centro_Agroindustrial">Regionales!$AA$3:$AA$5</definedName>
    <definedName name="Centro_Agroindustrial_del_Meta">Regionales!$W$3:$W$5</definedName>
    <definedName name="Centro_Agroindustrial_y_Fortalecimiento_Empresarial_de_Casanare">Regionales!#REF!</definedName>
    <definedName name="Centro_Agroindustrial_y_Pesquero_de_la_Costa_Pacifica">Regionales!$X$3:$X$6</definedName>
    <definedName name="Centro_Agropecuario">Regionales!$L$3:$L$7</definedName>
    <definedName name="Centro_Agropecuario_de_Buga">Regionales!$AG$3:$AG$15</definedName>
    <definedName name="Centro_Agropecuario_la_Granja">Regionales!$AF$3:$AF$6</definedName>
    <definedName name="Centro_Agropecuario_y_de_Biotecnologia_El_Porvenir">Regionales!$O$3:$O$4</definedName>
    <definedName name="Centro_Agropecuario_y_de_Servicios_Ambientales_Jiri_Jirimo">Regionales!$AH$3</definedName>
    <definedName name="Centro_Ambiental_y_Ecoturistico_del_Nororiente_Amazonico">Regionales!$R$3</definedName>
    <definedName name="Centro_Atencion_Sector_Agropecuario">Regionales!$AB$3:$AB$6</definedName>
    <definedName name="Centro_Automatizacion_Industrial">Regionales!$I$3:$I$9</definedName>
    <definedName name="Centro_de_Comercio">Regionales!$D$3:$D$22</definedName>
    <definedName name="Centro_de_Desarrollo_Agroindustrial_Turistico_y_Tecnologico">Regionales!$T$3</definedName>
    <definedName name="Centro_de_Desarrollo_Agropecuario_y_Agroindustrial">Regionales!$H$3:$H$6</definedName>
    <definedName name="Centro_de_Electricidad_y_Electronica">Regionales!$Q$3:$Q$29</definedName>
    <definedName name="Centro_de_Formacion_Turistica_Gente_de_Mar_y_de_Servicios">Regionales!$AC$3</definedName>
    <definedName name="Centro_de_Gestion_y_Desarrollo_Agroindustrial_de_Arauca">Regionales!$E$3:$E$4</definedName>
    <definedName name="Centro_de_la_Innovacion_la_Tecnologia_y_los_Servicios">Regionales!$AE$3:$AE$9</definedName>
    <definedName name="Centro_de_Recursos_Naturales_Industria_y_Biodiversidad">Regionales!$N$3</definedName>
    <definedName name="Centro_Tecnologico_de_la_Amazonia">Regionales!$J$3</definedName>
    <definedName name="Contratista">Tabla44[Rol Contratista]</definedName>
    <definedName name="Contratista.">#REF!</definedName>
    <definedName name="Contratista_Administrativo">Tabla444748[Con_Administrativo]</definedName>
    <definedName name="Dirección_General">TBLDireccionGeneral[Dirección_General]</definedName>
    <definedName name="Funcionario_Administrativo">Tabla6[Rol_Administrativo]</definedName>
    <definedName name="Instructor_Contratista">Tabla43[Rol_Instructor]</definedName>
    <definedName name="Instructor_Funcionario">Tabla43[Rol_Instructor]</definedName>
    <definedName name="Planta">TBLPlanta[Rol Planta]</definedName>
    <definedName name="Regional_Amazonas">tblRegionalAmazonas[Regional Amazonas]</definedName>
    <definedName name="Regionales">Regionales_SENA[Regionales]</definedName>
    <definedName name="TipoContrato">TBLTipoContrato[Tipo de contrato]</definedName>
    <definedName name="TipoSolicitud">TBLTipoSolicitud[]</definedName>
    <definedName name="Trabajador_Oficial">Tabla42[Rol_Oficial]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7" l="1"/>
  <c r="B15" i="7" s="1"/>
  <c r="B16" i="7" s="1"/>
  <c r="B17" i="7" s="1"/>
  <c r="B18" i="7" l="1"/>
  <c r="T13" i="7"/>
  <c r="T14" i="7"/>
  <c r="T15" i="7"/>
  <c r="T16" i="7"/>
  <c r="B19" i="7" l="1"/>
  <c r="B20" i="7" s="1"/>
  <c r="B21" i="7" s="1"/>
  <c r="B22" i="7" s="1"/>
  <c r="B23" i="7" s="1"/>
  <c r="B24" i="7" l="1"/>
  <c r="B25" i="7" s="1"/>
  <c r="B26" i="7" s="1"/>
  <c r="B27" i="7" s="1"/>
  <c r="B28" i="7" s="1"/>
  <c r="B29" i="7" s="1"/>
  <c r="B30" i="7" s="1"/>
</calcChain>
</file>

<file path=xl/sharedStrings.xml><?xml version="1.0" encoding="utf-8"?>
<sst xmlns="http://schemas.openxmlformats.org/spreadsheetml/2006/main" count="561" uniqueCount="433">
  <si>
    <t>Nombres</t>
  </si>
  <si>
    <t>Apellidos</t>
  </si>
  <si>
    <t>Cargo</t>
  </si>
  <si>
    <t>Modificar</t>
  </si>
  <si>
    <t>Inactivar</t>
  </si>
  <si>
    <t>Activar</t>
  </si>
  <si>
    <t>Documento de Identidad</t>
  </si>
  <si>
    <t>Crear</t>
  </si>
  <si>
    <t>Tipo de Solicitud</t>
  </si>
  <si>
    <t>Correo Electrónico Personal</t>
  </si>
  <si>
    <t>Correo Electrónico Institucional</t>
  </si>
  <si>
    <t>Responsable</t>
  </si>
  <si>
    <t>Correo Institucional del responsable</t>
  </si>
  <si>
    <t>Teléfono de contacto</t>
  </si>
  <si>
    <t>Nombre propuesto</t>
  </si>
  <si>
    <t>Observaciones</t>
  </si>
  <si>
    <t>Planta</t>
  </si>
  <si>
    <t>Contratista</t>
  </si>
  <si>
    <t>Fecha de creación</t>
  </si>
  <si>
    <t>Versión</t>
  </si>
  <si>
    <t>Petición de Accesos 
Directorio Activo y Correo Electronico</t>
  </si>
  <si>
    <t>PPC-ID-CO-SENA-043-F2-DA_Correo_Electronico</t>
  </si>
  <si>
    <t>No.</t>
  </si>
  <si>
    <t>1. Datos del Autorizador</t>
  </si>
  <si>
    <t>2. Solicitud de Cuentas de Red y Correo</t>
  </si>
  <si>
    <t>Código</t>
  </si>
  <si>
    <t>REGISTRO DE CAMBIOS</t>
  </si>
  <si>
    <t>Fecha Modificación</t>
  </si>
  <si>
    <t>Motivo del cambio</t>
  </si>
  <si>
    <t>Preparado</t>
  </si>
  <si>
    <t>Revisado</t>
  </si>
  <si>
    <t>Aprobado</t>
  </si>
  <si>
    <t>Elaboración  y aprobación del documento</t>
  </si>
  <si>
    <t>Angela Paola Maldonado García
Gestor de Accesos ENLACE</t>
  </si>
  <si>
    <t xml:space="preserve">Denise de Acuña Pabón
Interventora Serticsas </t>
  </si>
  <si>
    <t>Rubiela Ferreira
Gestor de Accesos  SENA</t>
  </si>
  <si>
    <t>Se agregar comentarios de ayuda en las celdas para diligenciar el formato</t>
  </si>
  <si>
    <t>Carlos Andres Escorcia
Gestor de Accesos ENLACE</t>
  </si>
  <si>
    <t>Profesional</t>
  </si>
  <si>
    <t>Asesor</t>
  </si>
  <si>
    <t>Técnico</t>
  </si>
  <si>
    <t>Instructor</t>
  </si>
  <si>
    <t>Auxiliar</t>
  </si>
  <si>
    <t>Tipo de solicitud</t>
  </si>
  <si>
    <t>Tipo de contrato</t>
  </si>
  <si>
    <t>Se agrega el cargo y se modifica el tipo de usuario</t>
  </si>
  <si>
    <t>Jorge Ocampo Osorio
Gestor de Accesos ENLACE</t>
  </si>
  <si>
    <t>Maria Francisca Maya
Gestor de Accesos  SENA</t>
  </si>
  <si>
    <t>Fecha de terminación de Contrato (dd/mm/aaaa)</t>
  </si>
  <si>
    <t>Regionales</t>
  </si>
  <si>
    <t>Regional Amazonas</t>
  </si>
  <si>
    <t>Regional Antioquia</t>
  </si>
  <si>
    <t>Regional Arauca</t>
  </si>
  <si>
    <t>Regional Bolivar</t>
  </si>
  <si>
    <t>Regional Caldas</t>
  </si>
  <si>
    <t>Regional Caqueta</t>
  </si>
  <si>
    <t>Regional Casanare</t>
  </si>
  <si>
    <t>Regional Cauca</t>
  </si>
  <si>
    <t>Regional Cesar</t>
  </si>
  <si>
    <t>Regional Cordoba</t>
  </si>
  <si>
    <t>Regional Cundinamarca</t>
  </si>
  <si>
    <t>Regional Distrito Capital</t>
  </si>
  <si>
    <t>Regional Guajira</t>
  </si>
  <si>
    <t>Regional Guaviare</t>
  </si>
  <si>
    <t>Regional Huila</t>
  </si>
  <si>
    <t>Regional Magdalena</t>
  </si>
  <si>
    <t>Regional Meta</t>
  </si>
  <si>
    <t>Regional Narino</t>
  </si>
  <si>
    <t>Regional Norte de Santander</t>
  </si>
  <si>
    <t>Regional Putumayo</t>
  </si>
  <si>
    <t>Regional Quindio</t>
  </si>
  <si>
    <t>Regional Risaralda</t>
  </si>
  <si>
    <t>Regional San Andres</t>
  </si>
  <si>
    <t>Regional Santander</t>
  </si>
  <si>
    <t>Regional Sucre</t>
  </si>
  <si>
    <t>Regional Tolima</t>
  </si>
  <si>
    <t>Regional Valle</t>
  </si>
  <si>
    <t>Regional Vichada</t>
  </si>
  <si>
    <t>Centro Agroindustrial y Fortalecimiento Empresarial de Casanare</t>
  </si>
  <si>
    <t>Centro Agroempresarial</t>
  </si>
  <si>
    <t>Centro Agroindustrial</t>
  </si>
  <si>
    <t>Se incluye el listado de regionales y centros de formacion</t>
  </si>
  <si>
    <t>Luis Felipe Galeano</t>
  </si>
  <si>
    <t>Centro Metalmecánico</t>
  </si>
  <si>
    <t>Dirección General</t>
  </si>
  <si>
    <t>Dirección_General</t>
  </si>
  <si>
    <t>Regional Atlántico</t>
  </si>
  <si>
    <t>Regional Boyacá</t>
  </si>
  <si>
    <t>Regional Chocó</t>
  </si>
  <si>
    <t>Regional Guainía</t>
  </si>
  <si>
    <t>Subsede Finca Villa Luz</t>
  </si>
  <si>
    <t>Sede Alameda</t>
  </si>
  <si>
    <t>Regional Vaupés</t>
  </si>
  <si>
    <t>3. Solicitud de Cuentas de Correo Genéricas</t>
  </si>
  <si>
    <t>Justificación de la Solicitud para Cuentas de correo genéricas</t>
  </si>
  <si>
    <t>Lista de distribución asociada</t>
  </si>
  <si>
    <t>Rol</t>
  </si>
  <si>
    <t>Rol Planta</t>
  </si>
  <si>
    <t>Rol Contratista</t>
  </si>
  <si>
    <t>Funcionario Instructor</t>
  </si>
  <si>
    <t>Funcionario Directivo</t>
  </si>
  <si>
    <t>Trabajador Oficial</t>
  </si>
  <si>
    <t>Contratista Administrativo</t>
  </si>
  <si>
    <t>Contratista Instructor</t>
  </si>
  <si>
    <t>Aprendiz Contrato Aprendizaje</t>
  </si>
  <si>
    <t>Funcionario Administrativo</t>
  </si>
  <si>
    <t>Asistencial</t>
  </si>
  <si>
    <t>Licenciamiento</t>
  </si>
  <si>
    <t>UsuarioSENAPlantAdministrativa</t>
  </si>
  <si>
    <t>UsuarioSENAPlantAInstructor</t>
  </si>
  <si>
    <t>UsuarioSENAContratistaAdministrativo</t>
  </si>
  <si>
    <t>UsuarioSENAContratistaInstructor</t>
  </si>
  <si>
    <t>UsuarioSENAprendizContratoAprendizaje</t>
  </si>
  <si>
    <t>Despacho Dirección</t>
  </si>
  <si>
    <t>Sede El Bagre</t>
  </si>
  <si>
    <t>Sede Arauquita</t>
  </si>
  <si>
    <t>Centro Atención Sector Agropecuario</t>
  </si>
  <si>
    <t>Centro Nacional Colombo Alemán</t>
  </si>
  <si>
    <t>Dirección de planeación y direccionamiento corporativo</t>
  </si>
  <si>
    <t>Oficina de control interno</t>
  </si>
  <si>
    <t>Secretaria general</t>
  </si>
  <si>
    <t>Oficina de control interno disciplinario</t>
  </si>
  <si>
    <t>Oficina de comunicaciones</t>
  </si>
  <si>
    <t>Oficina de sistemas</t>
  </si>
  <si>
    <t>Dirección jurídica</t>
  </si>
  <si>
    <t>Dirección administrativa y financiera</t>
  </si>
  <si>
    <t>Dirección de empleo y trabajo</t>
  </si>
  <si>
    <t>Dirección de formación profesional</t>
  </si>
  <si>
    <t>Dirección sistema nacional de formación para el trabajo</t>
  </si>
  <si>
    <t>Dirección de promoción y relaciones corporativas</t>
  </si>
  <si>
    <t>Tecnoparque Nodo Ocaña</t>
  </si>
  <si>
    <t>Se modifica el rol, cargo y se actualizan las regionales</t>
  </si>
  <si>
    <t>Edwar Urueña
Gestor de Accesos  SENA</t>
  </si>
  <si>
    <r>
      <rPr>
        <b/>
        <sz val="10"/>
        <rFont val="Arial"/>
        <family val="2"/>
      </rPr>
      <t>RESPONSABILIDADES:</t>
    </r>
    <r>
      <rPr>
        <sz val="10"/>
        <rFont val="Arial"/>
        <family val="2"/>
      </rPr>
      <t xml:space="preserve">
Éste documento debe estar debidamente diligenciado y deberá ser enviado a la MESA DE SERVICIO (mesadeservicio@sena.edu.co), teniendo la aprobación del Usuario Autorizador. 
Favor tener en cuenta las siguientes observaciones:
     • El usuario tendrá 16 horas hábiles para notificar al Usuario Autorizador o a la Mesa de servicio la funcionalidad de los accesos otorgados por correo electrónico, pasado este tiempo se dará por aceptado y cerrado.
     • La custodia de las solicitudes reposará en la MESA DE SERVICIO.
     • Todos los campos del formato deben diligenciarse de acuerdo con el tipo de solicitud (Cuenta de red y correo o Cuentas de correo genéricas) en su totalidad a menos que el campo indique lo contrario.  </t>
    </r>
  </si>
  <si>
    <t>Aprendiz</t>
  </si>
  <si>
    <t>Rol Aprendiz</t>
  </si>
  <si>
    <t>Director</t>
  </si>
  <si>
    <t>Subdirector</t>
  </si>
  <si>
    <t>Jefe de Oficina</t>
  </si>
  <si>
    <t>Coordinador</t>
  </si>
  <si>
    <t>Oficinista</t>
  </si>
  <si>
    <t>Funcionario_Administrativo</t>
  </si>
  <si>
    <t>Trabajador_Oficial</t>
  </si>
  <si>
    <t>Instructor_Funcionario</t>
  </si>
  <si>
    <t>Rol_Oficial</t>
  </si>
  <si>
    <t>Rol_Administrativo</t>
  </si>
  <si>
    <t>Rol_Instructor</t>
  </si>
  <si>
    <t>Ins_contratista</t>
  </si>
  <si>
    <t>Con_Administrativo</t>
  </si>
  <si>
    <t>Instructor_Contratista</t>
  </si>
  <si>
    <t>Contratista_Administrativo</t>
  </si>
  <si>
    <t>Aprendiz_Contrato_Aprendizaje</t>
  </si>
  <si>
    <t>Apre_Contr_apren</t>
  </si>
  <si>
    <t>Secretaria</t>
  </si>
  <si>
    <t>Dependencia</t>
  </si>
  <si>
    <t>Ubicación</t>
  </si>
  <si>
    <t>Centro Para La Biodiversidad y El Turismo Del Amazonas</t>
  </si>
  <si>
    <t>Aula Colegio San Juan Don Bosco</t>
  </si>
  <si>
    <t>Tecnoparque Colombia Nodo Medellin</t>
  </si>
  <si>
    <t>Centro De Los Recursos Naturales Renovables -La Salada</t>
  </si>
  <si>
    <t>Complejo Tecnológico, Turístico y Agroindustrial Del Occidente Antioqueño</t>
  </si>
  <si>
    <t>Centro Del Diseño y Manufactura Del Cuero</t>
  </si>
  <si>
    <t>Centro Para El Desarrollo Del Hábitat y La Construcción</t>
  </si>
  <si>
    <t>Complejo Tecnológico Para La Gestión Agroempresarial</t>
  </si>
  <si>
    <t>Subsede Santa Rosa De Osos</t>
  </si>
  <si>
    <t xml:space="preserve">Complejo Tecnológico Minero Agroempresarial </t>
  </si>
  <si>
    <t>Subsede Cisneros</t>
  </si>
  <si>
    <t>Centro De La Innovación, La Agroindustria y La Aviación</t>
  </si>
  <si>
    <t>Subsede Sonson</t>
  </si>
  <si>
    <t>Tecnoparque Nodo Rionegro</t>
  </si>
  <si>
    <t>Subsede Zona Franca</t>
  </si>
  <si>
    <t>Tecnoparque Colombia Nodo Uraba</t>
  </si>
  <si>
    <t>El Pomar</t>
  </si>
  <si>
    <t>La Ceja</t>
  </si>
  <si>
    <t>Centro De La Innovacion, La Industria y El Turismo De Guarne</t>
  </si>
  <si>
    <t>Tecnoacademia Habitat De La Construccion (Colegio Loyola)</t>
  </si>
  <si>
    <t xml:space="preserve">Subsede La Inmaculada  </t>
  </si>
  <si>
    <t>Sede Avionica (Nariño)</t>
  </si>
  <si>
    <t>Sede Guarne</t>
  </si>
  <si>
    <t>Centro De Formación Minero Ambiental (El Bagre)</t>
  </si>
  <si>
    <t>Sede Colombia</t>
  </si>
  <si>
    <t>Subsede Cocorná</t>
  </si>
  <si>
    <t>Complejo Tecnológico Agroindustrial, Pecuario y Turístico</t>
  </si>
  <si>
    <t>Centro De Comercio</t>
  </si>
  <si>
    <t>Centro De Servicios De Salud</t>
  </si>
  <si>
    <t xml:space="preserve">Centro De Servicios y Gestión Empresarial </t>
  </si>
  <si>
    <t>Centro Tecnológico Del Mobiliario</t>
  </si>
  <si>
    <t>Centro Textil y De Gestión Industrial</t>
  </si>
  <si>
    <t>Centro De Tecnología De La Manufactura Avanzada</t>
  </si>
  <si>
    <t>Centro De Formación En Diseño, Confección y Moda</t>
  </si>
  <si>
    <t>Subsede Tame</t>
  </si>
  <si>
    <t>Subsede Saravena</t>
  </si>
  <si>
    <t>APE Arauca</t>
  </si>
  <si>
    <t>Centro De Gestión y Desarrollo Agroindustrial De Arauca</t>
  </si>
  <si>
    <t>Centro Para El Desarrollo Agroecologico y Agroindustrial</t>
  </si>
  <si>
    <t>Subsede Malambo Del Centro Nacional Colombo Aleman</t>
  </si>
  <si>
    <t>Finca El Caney</t>
  </si>
  <si>
    <t>Sede Energía - Centro Colombo Alemán</t>
  </si>
  <si>
    <t>Centro De Comercio y Servicios</t>
  </si>
  <si>
    <t>Subsede Casa Del Marqués</t>
  </si>
  <si>
    <t>Subsede San Jacinto</t>
  </si>
  <si>
    <t>Centro Internacional Náutico, Fluvial y Portuario</t>
  </si>
  <si>
    <t>Centro Para La Industria Petroquímica</t>
  </si>
  <si>
    <t>Subsede San Pablo</t>
  </si>
  <si>
    <t>Subsede Mompos</t>
  </si>
  <si>
    <t>Centro Agroempresarial y Minero</t>
  </si>
  <si>
    <t>Subsede Chiquinquira</t>
  </si>
  <si>
    <t>Subsede Duitama-Ciudadela Industrial</t>
  </si>
  <si>
    <t xml:space="preserve">Centro De Desarrollo Agropecuario y Agroindustrial </t>
  </si>
  <si>
    <t>Centro  Minero</t>
  </si>
  <si>
    <t xml:space="preserve">Centro De Gestión Administrativa y Fortalecimiento Empresarial </t>
  </si>
  <si>
    <t>Subsede Moniquira</t>
  </si>
  <si>
    <t>Servicio Público Empleo Tunja</t>
  </si>
  <si>
    <t>Escuela Gastronomica De Tunja</t>
  </si>
  <si>
    <t>Subsede Santa Clara</t>
  </si>
  <si>
    <t>Centro Industrial De Mantenimiento y Manufactura</t>
  </si>
  <si>
    <t>Spe Sogamoso</t>
  </si>
  <si>
    <t>Subsede Planta Agroindustrial</t>
  </si>
  <si>
    <t>Spe Manizales</t>
  </si>
  <si>
    <t>Subsede Puerto Boyaca</t>
  </si>
  <si>
    <t>Centro Pecuario y Agroempresarial</t>
  </si>
  <si>
    <t>Tecnoacademia Manizales</t>
  </si>
  <si>
    <t>Sena- Inem Caldas</t>
  </si>
  <si>
    <t>Escuela Del Café</t>
  </si>
  <si>
    <t>Centro Para La Formación Cafetera</t>
  </si>
  <si>
    <t>Centro De Automatizacion Industrial (Caldas)</t>
  </si>
  <si>
    <t>Centro De Procesos Industriales y Construcción</t>
  </si>
  <si>
    <t>Tecnoparque Colombia Nodo Manizales</t>
  </si>
  <si>
    <t>Subsede San Vicente Del Cagúan</t>
  </si>
  <si>
    <t>Regional Caquetá - Sede Alterna</t>
  </si>
  <si>
    <t>Centro Tecnológico De La Amazonia</t>
  </si>
  <si>
    <t xml:space="preserve">Centro Agropecuario </t>
  </si>
  <si>
    <t>Subsede-Santander De Quilichao</t>
  </si>
  <si>
    <t>Subsede Guapi</t>
  </si>
  <si>
    <t>Centro Integrado Para La Formación Profesional Del Norte Del Cauca</t>
  </si>
  <si>
    <t xml:space="preserve">Centro De Teleinformática y Producción Industrial </t>
  </si>
  <si>
    <t>Subsede Jagua De Ibirico</t>
  </si>
  <si>
    <t>Subsede Centro De Desarrollo Vecinalcdv (Cesar)</t>
  </si>
  <si>
    <t>Centro Biotecnológico Del Caribe</t>
  </si>
  <si>
    <t>La Jagua De Ibirico</t>
  </si>
  <si>
    <t>Centro De Operación y Mantenimiento Minero</t>
  </si>
  <si>
    <t>Tecnoparque Colombia Nodo Valledupar</t>
  </si>
  <si>
    <t>Itsmina</t>
  </si>
  <si>
    <t>Centro Minero (Minercol) - Centro De Recursos Naturales, Industria y Biodiversidad</t>
  </si>
  <si>
    <t>Centro De Recursos Naturales, Industria y Biodiversidad</t>
  </si>
  <si>
    <t>Subsede- Lorica</t>
  </si>
  <si>
    <t>Centro Agropecuario y De Biotecnología El Porvenir</t>
  </si>
  <si>
    <t>Tecnoparque Monteria</t>
  </si>
  <si>
    <t>San Jorge Montelibano</t>
  </si>
  <si>
    <t>Centro De Comercio, Industria y Turismo De Córdoba</t>
  </si>
  <si>
    <t>Centro De Desarrollo Agroindustrial y Empresarial</t>
  </si>
  <si>
    <t>Subsede-Pacho</t>
  </si>
  <si>
    <t>Subsede-Puerto Salgar</t>
  </si>
  <si>
    <t>Subsede-San Juan De Rio Seco</t>
  </si>
  <si>
    <t xml:space="preserve">Centro Agroecológico y Empresarial </t>
  </si>
  <si>
    <t>Centro De La Tecnología De Diseño y La Productividad Empresarial</t>
  </si>
  <si>
    <t>Subsede Ituc</t>
  </si>
  <si>
    <t>Centro De Biotecnología Agropecuaria</t>
  </si>
  <si>
    <t>Centro Industrial y De Desarrollo Empresarial De Soacha</t>
  </si>
  <si>
    <t xml:space="preserve">Centro De Desarrollo Agroempresarial </t>
  </si>
  <si>
    <t>Subsede-Cajica</t>
  </si>
  <si>
    <t>Subsede-La Calera</t>
  </si>
  <si>
    <t>Subsede Tocancipa</t>
  </si>
  <si>
    <t>Subsede Sibaté</t>
  </si>
  <si>
    <t>Subsede La Mesa</t>
  </si>
  <si>
    <t>Subsede El Colegio</t>
  </si>
  <si>
    <t>Subsede Centro De Formación De Talento Humano En Salud – San Antonio (Distrito Capital)</t>
  </si>
  <si>
    <t>Centro De Electricidad, Electrónica y Telecomunicaciones</t>
  </si>
  <si>
    <t>Centro De Gestión Industrial</t>
  </si>
  <si>
    <t>Subsede Prial</t>
  </si>
  <si>
    <t>Subsede Alamos-Plantas Agroindustriales</t>
  </si>
  <si>
    <t>Centro De Formación De Talento Humano En Salud</t>
  </si>
  <si>
    <t>Subsede Sena Salud</t>
  </si>
  <si>
    <t>Centro De Gestión Administrativa</t>
  </si>
  <si>
    <t>Subsede-Onassis</t>
  </si>
  <si>
    <t>Subsede-Fontibon</t>
  </si>
  <si>
    <t>Subsede-Usme</t>
  </si>
  <si>
    <t>Subsede-Meisen</t>
  </si>
  <si>
    <t>Centro De Tecnologías Para La Construcción y La Madera (Distrito Capital)</t>
  </si>
  <si>
    <t>Escuela De Instructores</t>
  </si>
  <si>
    <t>Centro De Formación En Actividad Física y Cultura</t>
  </si>
  <si>
    <t>Subsede Calle 39 Con 14 (Servicio Médico Asistencial)</t>
  </si>
  <si>
    <t>Tecnoparque Colombia Nodo Bogota</t>
  </si>
  <si>
    <t>Centro De Gestión De Mercados, Logística y Tecnologías De La Información</t>
  </si>
  <si>
    <t>Subsede Tecnologias De La Construccion</t>
  </si>
  <si>
    <t>Tecnoparque Colombia Nodo Cazuca-Tecnoacademia</t>
  </si>
  <si>
    <t>Centro De Tecnologías Del Transporte</t>
  </si>
  <si>
    <t>Subsede Del Centro De Tecnologias Para La Construccion y La Madera</t>
  </si>
  <si>
    <t>Centro De Servicios Financieros</t>
  </si>
  <si>
    <t>Centro De Manufactura En Textil y Cuero</t>
  </si>
  <si>
    <t>Centro De Materiales y Ensayos</t>
  </si>
  <si>
    <t>Centro De Diseño y Metrología</t>
  </si>
  <si>
    <t>Centro Para La Industria De La Comunicación Grafica</t>
  </si>
  <si>
    <t>Centro Nacional De Hoteleria, Turismo y Alimentos</t>
  </si>
  <si>
    <t>Subsede Almacén Alamos</t>
  </si>
  <si>
    <t>Centro Ambiental y Ecoturistico Del Nororiente Amazónico</t>
  </si>
  <si>
    <t>Subsede Industrial</t>
  </si>
  <si>
    <t>Subsede Multisectorial Maicao (Del Centro Industrial)</t>
  </si>
  <si>
    <t>Subsede La Mina-Cerrejon</t>
  </si>
  <si>
    <t>Centro Agroempresarial y Acuícola</t>
  </si>
  <si>
    <t>Sede Uribia</t>
  </si>
  <si>
    <t>Sede Villanueva</t>
  </si>
  <si>
    <t>Centro De Comercio y Servicios Del Centro Industrial</t>
  </si>
  <si>
    <t>Centro Industrial y De Energías Alternativas (Sede Administrativa)</t>
  </si>
  <si>
    <t>Centro De Desarrollo Agroindustrial, Turístico y Tecnológico Del Guaviare</t>
  </si>
  <si>
    <t>Centro De Formación Agroindustrial</t>
  </si>
  <si>
    <t>Centro Agroempresarial y Desarrollo Pecuario Del Huila</t>
  </si>
  <si>
    <t>Centro De Desarrollo Agroempresarial y Turístico Del Huila</t>
  </si>
  <si>
    <t>Centro De Gestión y Desarrollo Sostenible Surcolombiano</t>
  </si>
  <si>
    <t>Tecnoparque Agroecologico yamboro.</t>
  </si>
  <si>
    <t>Tecnoparque Colombia Nodo Neiva</t>
  </si>
  <si>
    <t>Tecnoacademia Neiva</t>
  </si>
  <si>
    <t>Tecnoparque Colombia Nodo La Angostura</t>
  </si>
  <si>
    <t>Tecnoparque Colombia Nodo yamboro</t>
  </si>
  <si>
    <t xml:space="preserve">Centro De La Industria, La Empresa y Los Servicios </t>
  </si>
  <si>
    <t>Subsede Ipc</t>
  </si>
  <si>
    <t>Subsede Fundacion</t>
  </si>
  <si>
    <t>Centro Acuícola y Agroindustrial De Gaira</t>
  </si>
  <si>
    <t>Subsede Cienaga</t>
  </si>
  <si>
    <t>Centro De Logística y Promoción Ecoturística Del Magdalena</t>
  </si>
  <si>
    <t>Tecnoparque Colombia Nodo Gaira</t>
  </si>
  <si>
    <t>Centro Agroindustrial Del Meta</t>
  </si>
  <si>
    <t>Subsede Los Naranjos</t>
  </si>
  <si>
    <t>Sede Puerto Gaitan</t>
  </si>
  <si>
    <t>Sede Taladro</t>
  </si>
  <si>
    <t>Subsede Granada</t>
  </si>
  <si>
    <t>Centro De Industria y Servicios Del Meta</t>
  </si>
  <si>
    <t>Spe Pasto</t>
  </si>
  <si>
    <t>Centro Sur Colombiano De Logística Internacional</t>
  </si>
  <si>
    <t>Subsede Muelle</t>
  </si>
  <si>
    <t>Centro Agroindustrial y Pesquero De La Costa Pacifica</t>
  </si>
  <si>
    <t>Sede La Union Nariño</t>
  </si>
  <si>
    <t>Sede Ipiales</t>
  </si>
  <si>
    <t>Sede Obando</t>
  </si>
  <si>
    <t>Centro Internacional De Producción Limpia - Lope</t>
  </si>
  <si>
    <t>Subsede Grupo Pamplona</t>
  </si>
  <si>
    <t>Subsede Grupo Ocaña</t>
  </si>
  <si>
    <t>Subsede Pamplona</t>
  </si>
  <si>
    <t>Subsede Centro De Calzado</t>
  </si>
  <si>
    <t>Sede Alterna - Regional Norte De Santander (Sede Administrativa)</t>
  </si>
  <si>
    <t>Los Patios</t>
  </si>
  <si>
    <t>Centro De Formación Para El Desarrollo Rural y Minero</t>
  </si>
  <si>
    <t>Subsede Mocoa</t>
  </si>
  <si>
    <t>Sede Sibundoy</t>
  </si>
  <si>
    <t>Sede Puerto Leguizamo</t>
  </si>
  <si>
    <t>Centro Agroforestal y Acuícola Arapaima</t>
  </si>
  <si>
    <t>Centro De Comercio y Turismo</t>
  </si>
  <si>
    <t>Centro Para El Desarrollo Tecnológico De La Construcción y La Industria</t>
  </si>
  <si>
    <t>Subsede Centro De Pereira</t>
  </si>
  <si>
    <t>Tecnoparque Colombia Nodo Pereira</t>
  </si>
  <si>
    <t>Centro De Diseño E Innovación Tecnológica Industrial</t>
  </si>
  <si>
    <t>Tecnoacademia Dosquebradas</t>
  </si>
  <si>
    <t>Sede Santa Rosa De Cabal</t>
  </si>
  <si>
    <t xml:space="preserve">Escuela Cultural y Gastronómica - Calle De La Fundación </t>
  </si>
  <si>
    <t>Subsede Frailes</t>
  </si>
  <si>
    <t>Subsede Providencia</t>
  </si>
  <si>
    <t>Subsede Bilingüismo</t>
  </si>
  <si>
    <t>Centro De Formación Turística, Gente De Mar y De Servicios</t>
  </si>
  <si>
    <t>Subsede Aguascalientes</t>
  </si>
  <si>
    <t>Centro Industrial De Mantenimiento Integral</t>
  </si>
  <si>
    <t>Centro Industrial Del Diseño y La Manufactura</t>
  </si>
  <si>
    <t>Centro Industrial y Del Desarrollo Tecnológico</t>
  </si>
  <si>
    <t>Centro Agroturístico</t>
  </si>
  <si>
    <t>Subsede Socorro</t>
  </si>
  <si>
    <t>Centro Agroempresarial y Turístico De Los Andes</t>
  </si>
  <si>
    <t xml:space="preserve">Sub Sede Granja Los Andes </t>
  </si>
  <si>
    <t>Centro De Gestión Agroempresarial Del Oriente</t>
  </si>
  <si>
    <t>Tecnoacademia Bucaramanga</t>
  </si>
  <si>
    <t xml:space="preserve">Subsede Soata </t>
  </si>
  <si>
    <t>Subsede Salud</t>
  </si>
  <si>
    <t>Susede San Juan De Dios</t>
  </si>
  <si>
    <t>Sede Ased</t>
  </si>
  <si>
    <t>Centro De Servicios Empresariales y Turísticos</t>
  </si>
  <si>
    <t>Subsede Escuela Gastronomica</t>
  </si>
  <si>
    <t>Subsede Corozal</t>
  </si>
  <si>
    <t>Centro De La Innovación, La Tecnología y Los Servicios</t>
  </si>
  <si>
    <t>Sede Nueva</t>
  </si>
  <si>
    <t>Centro De Industria y Construcción</t>
  </si>
  <si>
    <t>Sede Escuela Gastronomica</t>
  </si>
  <si>
    <t>Centro Agropecuario La Granja</t>
  </si>
  <si>
    <t>Escuela Poscosecha, Frutas y Hortalizas</t>
  </si>
  <si>
    <t>Tecnoparque Colombia Nodo La Granja</t>
  </si>
  <si>
    <t>APE Cali</t>
  </si>
  <si>
    <t>Centro Agropecuario De Buga</t>
  </si>
  <si>
    <t>Centro Náutico Pesquero De Buenaventura</t>
  </si>
  <si>
    <t>Centro De La Construcción</t>
  </si>
  <si>
    <t>Centro De Tecnologías Agroindustriales</t>
  </si>
  <si>
    <t>Centro De Biotecnología Industrial</t>
  </si>
  <si>
    <t>Spe Tulua</t>
  </si>
  <si>
    <t>Centro De Electricidad y Automatización Industrial -Ceai</t>
  </si>
  <si>
    <t>Centro De Diseño Tecnológico Industrial</t>
  </si>
  <si>
    <t>Subsede Escuela Gastronomica Del Centro De Gestion Tecnologica De Servicios</t>
  </si>
  <si>
    <t>Tecnoparque Colombia Plaza Caicedo</t>
  </si>
  <si>
    <t>Centro De Gestión Tecnológica De Servicios</t>
  </si>
  <si>
    <t>Sede Cuervo Araoz</t>
  </si>
  <si>
    <t>Centro Agropecuario y De Servicios Ambientales "Jiri-Jirimo"</t>
  </si>
  <si>
    <t>Centro De Producción y Transformación Agroindustrial De La Orinoquia</t>
  </si>
  <si>
    <t>Sede Yumbo</t>
  </si>
  <si>
    <t>Centro De Electricidad y Automatización Industrial - Ceai</t>
  </si>
  <si>
    <t>Centro Nacional De Asistencia Técnica A La Industria - Astin</t>
  </si>
  <si>
    <t>APE Discapacitados y Centro Medico Asistencial</t>
  </si>
  <si>
    <t>Centro Industrial y De Aviación</t>
  </si>
  <si>
    <t>Centro Latinoamericano De Especies Menores</t>
  </si>
  <si>
    <t>1. Datos del autorizador</t>
  </si>
  <si>
    <t>Es responsabilidad de los Directores Regionales, Subdirectores de Centro de Formación Profesional y Secretaria General, aprobar las novedades de: creación, modificación, eliminación, activación o inactivación de las cuentas de los usuarios.</t>
  </si>
  <si>
    <t>Diligencie los nombres del autorizador</t>
  </si>
  <si>
    <t>Diligencie los apellidos del autorizador</t>
  </si>
  <si>
    <t>Diligencie el cargo del autorizador</t>
  </si>
  <si>
    <t>Diligencie la dependencia del autorizador</t>
  </si>
  <si>
    <t>Diligencie la ubicación del autorizador</t>
  </si>
  <si>
    <t>2. Solicitud de cuentas de Red y Correo</t>
  </si>
  <si>
    <t>Seleccione el tipo de solicitud:
- Crear: El funcionario es nuevo
- Modificar: La cuenta existe y se va a modificar algún parámetro
- Activar: La cuenta existe pero se encuentra caducada
- Inactivar: Se requiere inactivar alguna cuenta existente</t>
  </si>
  <si>
    <t>Diligenciar el correo electrónico institucional.
Solo para modificar, activar o eliminar.</t>
  </si>
  <si>
    <t>Diligencie los nombres del funcionario.</t>
  </si>
  <si>
    <t xml:space="preserve">Diligencie los apellidos del funcionario. </t>
  </si>
  <si>
    <t>Seleccione el tipo de contrato:
- Planta: Contratación laboral directa con el SENA
- Contratista: Contratación laboral a término definido</t>
  </si>
  <si>
    <t>Seleccione el cargo que desempeña</t>
  </si>
  <si>
    <t>Seleccione la dependencia a la cual pertenece</t>
  </si>
  <si>
    <t>Seleccione la ubicación a la que pertenece</t>
  </si>
  <si>
    <t>Solo contratistas
Diligencie la fecha de terminación del contrato en el formato (dd/mm/aaaa)</t>
  </si>
  <si>
    <t>Diligencie un correo electrónico personal del usuario. 
Usar solo para creación y activación.</t>
  </si>
  <si>
    <t>Diligencie un número de teléfono donde se pueda contactar al funcionario. (Número fijo y extensión, celular)</t>
  </si>
  <si>
    <t>Especificar las listas de distribución asociadas a la cuenta.
Si no aplica, dejar en blanco, la cuenta se incluye a la lista SENANACIONAL.
ESTE CAMPO NO ES OBLIGATORIO</t>
  </si>
  <si>
    <t>El nombre propuesto debe contener menos de 20 caracteres antes del @sena.edu.co</t>
  </si>
  <si>
    <t>Diligencie el nombre completo del responsable de la cuenta genérica.</t>
  </si>
  <si>
    <t>Diligencie el correo electrónico institucional del responsable</t>
  </si>
  <si>
    <t>Diligencie el documento de identidad.</t>
  </si>
  <si>
    <t>Seleccione la función desempeñada dentro del SENA</t>
  </si>
  <si>
    <t xml:space="preserve">Diligencie si tiene alguna observación adicional. </t>
  </si>
  <si>
    <t>Las cuentas de correo genéricas no corresponden a un usuario específico y son destinadas para uso central. Ejemplo: sedes, regionales, oficinas, áreas, dependencias, departamentos, divisiones, entre otras.</t>
  </si>
  <si>
    <t>Seleccione el tipo de solicitud:
- Crear: se requiere una nueva cuenta de correo genérica
- Modificar: La cuenta existe y se va a modificar algún parámetro
- Activar: La cuenta existe pero se encuentra caducada
- Inactivar: Se requiere inactivar alguna cuenta existente</t>
  </si>
  <si>
    <t>SERVICIO NACIONAL DE APRENDIZAJE 
FORMATO DE PETICION DE ACCESOS DIRECTORIO ACTIVO Y CORREO ELECTRONICO</t>
  </si>
  <si>
    <t>GTI-F-029 V01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</si>
</sst>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sz val="18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16"/>
      <color theme="0"/>
      <name val="Arial"/>
      <family val="2"/>
    </font>
    <font>
      <sz val="10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/>
      <right style="thin">
        <color theme="9" tint="-0.249977111117893"/>
      </right>
      <top/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 style="thin">
        <color theme="9" tint="-0.249977111117893"/>
      </right>
      <top/>
      <bottom style="thin">
        <color theme="9" tint="-0.249977111117893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 style="thin">
        <color theme="8"/>
      </left>
      <right style="thin">
        <color theme="8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2" fillId="0" borderId="0"/>
    <xf numFmtId="0" fontId="22" fillId="0" borderId="0" applyNumberFormat="0" applyFill="0" applyBorder="0" applyAlignment="0" applyProtection="0"/>
    <xf numFmtId="0" fontId="1" fillId="0" borderId="0"/>
  </cellStyleXfs>
  <cellXfs count="153">
    <xf numFmtId="0" fontId="0" fillId="0" borderId="0" xfId="0"/>
    <xf numFmtId="0" fontId="5" fillId="0" borderId="0" xfId="0" applyFont="1"/>
    <xf numFmtId="0" fontId="2" fillId="0" borderId="0" xfId="2" applyFont="1" applyBorder="1"/>
    <xf numFmtId="0" fontId="2" fillId="0" borderId="0" xfId="2" applyFont="1"/>
    <xf numFmtId="0" fontId="2" fillId="0" borderId="0" xfId="2" applyFont="1" applyAlignment="1">
      <alignment horizontal="center" vertical="center"/>
    </xf>
    <xf numFmtId="0" fontId="2" fillId="0" borderId="0" xfId="2" applyFont="1" applyAlignment="1">
      <alignment horizontal="center"/>
    </xf>
    <xf numFmtId="0" fontId="6" fillId="0" borderId="0" xfId="2" applyFont="1" applyBorder="1" applyAlignment="1"/>
    <xf numFmtId="0" fontId="8" fillId="2" borderId="10" xfId="2" applyFont="1" applyFill="1" applyBorder="1" applyAlignment="1">
      <alignment horizontal="left" vertical="center" wrapText="1"/>
    </xf>
    <xf numFmtId="0" fontId="9" fillId="0" borderId="10" xfId="2" applyFont="1" applyBorder="1" applyAlignment="1">
      <alignment horizontal="center" vertical="center"/>
    </xf>
    <xf numFmtId="0" fontId="6" fillId="0" borderId="0" xfId="2" applyFont="1"/>
    <xf numFmtId="164" fontId="9" fillId="0" borderId="10" xfId="2" applyNumberFormat="1" applyFont="1" applyBorder="1" applyAlignment="1">
      <alignment horizontal="center" vertical="center"/>
    </xf>
    <xf numFmtId="0" fontId="10" fillId="0" borderId="0" xfId="2" applyFont="1" applyBorder="1"/>
    <xf numFmtId="0" fontId="10" fillId="0" borderId="0" xfId="2" applyFont="1"/>
    <xf numFmtId="0" fontId="12" fillId="0" borderId="15" xfId="2" applyFont="1" applyBorder="1" applyAlignment="1">
      <alignment horizontal="center" vertical="center" wrapText="1"/>
    </xf>
    <xf numFmtId="0" fontId="10" fillId="0" borderId="0" xfId="2" applyFont="1" applyBorder="1" applyAlignment="1">
      <alignment vertical="center"/>
    </xf>
    <xf numFmtId="0" fontId="9" fillId="0" borderId="15" xfId="2" applyFont="1" applyBorder="1" applyAlignment="1">
      <alignment horizontal="center" vertical="center" wrapText="1"/>
    </xf>
    <xf numFmtId="14" fontId="9" fillId="0" borderId="15" xfId="2" applyNumberFormat="1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/>
    </xf>
    <xf numFmtId="49" fontId="5" fillId="0" borderId="0" xfId="0" applyNumberFormat="1" applyFont="1"/>
    <xf numFmtId="0" fontId="5" fillId="3" borderId="7" xfId="0" applyFont="1" applyFill="1" applyBorder="1"/>
    <xf numFmtId="0" fontId="5" fillId="6" borderId="19" xfId="0" applyFont="1" applyFill="1" applyBorder="1"/>
    <xf numFmtId="0" fontId="5" fillId="3" borderId="17" xfId="0" applyFont="1" applyFill="1" applyBorder="1"/>
    <xf numFmtId="0" fontId="5" fillId="5" borderId="7" xfId="0" applyFont="1" applyFill="1" applyBorder="1"/>
    <xf numFmtId="0" fontId="2" fillId="4" borderId="0" xfId="2" applyFill="1" applyBorder="1"/>
    <xf numFmtId="0" fontId="2" fillId="0" borderId="0" xfId="2" applyBorder="1"/>
    <xf numFmtId="0" fontId="4" fillId="0" borderId="0" xfId="0" applyFont="1" applyProtection="1"/>
    <xf numFmtId="0" fontId="4" fillId="0" borderId="0" xfId="0" applyFont="1" applyBorder="1" applyProtection="1"/>
    <xf numFmtId="0" fontId="4" fillId="0" borderId="0" xfId="0" applyFont="1" applyAlignment="1" applyProtection="1">
      <alignment horizontal="center"/>
    </xf>
    <xf numFmtId="0" fontId="4" fillId="0" borderId="0" xfId="0" applyFont="1"/>
    <xf numFmtId="0" fontId="4" fillId="0" borderId="0" xfId="0" applyFont="1" applyFill="1" applyBorder="1" applyProtection="1"/>
    <xf numFmtId="0" fontId="4" fillId="0" borderId="0" xfId="0" applyFont="1" applyFill="1" applyProtection="1"/>
    <xf numFmtId="0" fontId="4" fillId="0" borderId="0" xfId="0" applyFont="1" applyFill="1"/>
    <xf numFmtId="0" fontId="11" fillId="0" borderId="0" xfId="0" applyFont="1" applyFill="1" applyBorder="1" applyAlignment="1" applyProtection="1">
      <alignment horizontal="center" vertical="center" wrapText="1"/>
    </xf>
    <xf numFmtId="49" fontId="4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</xf>
    <xf numFmtId="0" fontId="4" fillId="0" borderId="0" xfId="0" applyFont="1" applyAlignment="1" applyProtection="1">
      <alignment wrapText="1"/>
    </xf>
    <xf numFmtId="0" fontId="4" fillId="0" borderId="1" xfId="0" applyFont="1" applyBorder="1" applyAlignment="1" applyProtection="1">
      <alignment horizontal="center" vertical="center" wrapText="1"/>
    </xf>
    <xf numFmtId="49" fontId="4" fillId="0" borderId="1" xfId="0" applyNumberFormat="1" applyFont="1" applyFill="1" applyBorder="1" applyAlignment="1" applyProtection="1">
      <alignment horizontal="left" vertical="center" wrapText="1"/>
    </xf>
    <xf numFmtId="164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</xf>
    <xf numFmtId="0" fontId="4" fillId="0" borderId="1" xfId="0" applyFont="1" applyBorder="1" applyAlignment="1" applyProtection="1"/>
    <xf numFmtId="0" fontId="4" fillId="0" borderId="0" xfId="0" applyFont="1" applyFill="1" applyBorder="1" applyAlignment="1" applyProtection="1">
      <alignment vertical="center" wrapText="1"/>
      <protection locked="0"/>
    </xf>
    <xf numFmtId="0" fontId="5" fillId="0" borderId="0" xfId="0" applyFont="1" applyFill="1" applyBorder="1"/>
    <xf numFmtId="0" fontId="17" fillId="0" borderId="0" xfId="0" applyFont="1" applyFill="1" applyBorder="1"/>
    <xf numFmtId="0" fontId="16" fillId="6" borderId="0" xfId="0" applyFont="1" applyFill="1" applyBorder="1"/>
    <xf numFmtId="0" fontId="17" fillId="0" borderId="0" xfId="0" applyFont="1"/>
    <xf numFmtId="0" fontId="17" fillId="0" borderId="21" xfId="0" applyFont="1" applyBorder="1"/>
    <xf numFmtId="0" fontId="17" fillId="0" borderId="22" xfId="0" applyFont="1" applyBorder="1"/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0" fontId="2" fillId="0" borderId="0" xfId="2" applyFill="1" applyBorder="1" applyAlignment="1">
      <alignment horizontal="left" vertical="top"/>
    </xf>
    <xf numFmtId="0" fontId="18" fillId="0" borderId="0" xfId="0" applyFont="1" applyFill="1" applyBorder="1"/>
    <xf numFmtId="0" fontId="17" fillId="0" borderId="20" xfId="0" applyFont="1" applyFill="1" applyBorder="1"/>
    <xf numFmtId="0" fontId="5" fillId="6" borderId="0" xfId="0" applyFont="1" applyFill="1"/>
    <xf numFmtId="0" fontId="16" fillId="6" borderId="23" xfId="0" applyFont="1" applyFill="1" applyBorder="1"/>
    <xf numFmtId="0" fontId="0" fillId="0" borderId="0" xfId="0" applyFill="1"/>
    <xf numFmtId="0" fontId="0" fillId="0" borderId="0" xfId="0" applyFill="1" applyBorder="1"/>
    <xf numFmtId="0" fontId="16" fillId="6" borderId="24" xfId="0" applyFont="1" applyFill="1" applyBorder="1"/>
    <xf numFmtId="0" fontId="16" fillId="0" borderId="0" xfId="0" applyFont="1" applyFill="1" applyBorder="1"/>
    <xf numFmtId="0" fontId="5" fillId="4" borderId="17" xfId="0" applyFont="1" applyFill="1" applyBorder="1"/>
    <xf numFmtId="49" fontId="5" fillId="0" borderId="0" xfId="0" applyNumberFormat="1" applyFont="1" applyFill="1" applyBorder="1"/>
    <xf numFmtId="0" fontId="16" fillId="6" borderId="2" xfId="0" applyFont="1" applyFill="1" applyBorder="1"/>
    <xf numFmtId="0" fontId="17" fillId="0" borderId="7" xfId="0" applyFont="1" applyFill="1" applyBorder="1"/>
    <xf numFmtId="0" fontId="17" fillId="0" borderId="17" xfId="0" applyFont="1" applyFill="1" applyBorder="1"/>
    <xf numFmtId="0" fontId="17" fillId="0" borderId="18" xfId="0" applyFont="1" applyFill="1" applyBorder="1"/>
    <xf numFmtId="0" fontId="19" fillId="0" borderId="0" xfId="0" applyFont="1" applyFill="1" applyAlignment="1">
      <alignment horizontal="left" vertical="center" wrapText="1"/>
    </xf>
    <xf numFmtId="0" fontId="19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9" fillId="8" borderId="26" xfId="0" applyFont="1" applyFill="1" applyBorder="1" applyAlignment="1">
      <alignment horizontal="left" vertical="top"/>
    </xf>
    <xf numFmtId="0" fontId="9" fillId="0" borderId="25" xfId="0" applyFont="1" applyBorder="1" applyAlignment="1">
      <alignment horizontal="left" vertical="top"/>
    </xf>
    <xf numFmtId="0" fontId="9" fillId="0" borderId="26" xfId="0" applyFont="1" applyBorder="1" applyAlignment="1">
      <alignment horizontal="left" vertical="top"/>
    </xf>
    <xf numFmtId="0" fontId="13" fillId="7" borderId="27" xfId="0" applyFont="1" applyFill="1" applyBorder="1" applyAlignment="1">
      <alignment horizontal="left" vertical="top"/>
    </xf>
    <xf numFmtId="0" fontId="13" fillId="7" borderId="28" xfId="0" applyFont="1" applyFill="1" applyBorder="1" applyAlignment="1">
      <alignment horizontal="left" vertical="top" wrapText="1"/>
    </xf>
    <xf numFmtId="0" fontId="9" fillId="8" borderId="27" xfId="0" applyFont="1" applyFill="1" applyBorder="1" applyAlignment="1">
      <alignment horizontal="left" vertical="top"/>
    </xf>
    <xf numFmtId="0" fontId="9" fillId="8" borderId="28" xfId="0" applyFont="1" applyFill="1" applyBorder="1" applyAlignment="1">
      <alignment horizontal="left" vertical="top"/>
    </xf>
    <xf numFmtId="0" fontId="9" fillId="0" borderId="27" xfId="0" applyFont="1" applyBorder="1" applyAlignment="1">
      <alignment horizontal="left" vertical="top"/>
    </xf>
    <xf numFmtId="0" fontId="9" fillId="0" borderId="28" xfId="0" applyFont="1" applyBorder="1" applyAlignment="1">
      <alignment horizontal="left" vertical="top"/>
    </xf>
    <xf numFmtId="0" fontId="13" fillId="7" borderId="28" xfId="0" applyFont="1" applyFill="1" applyBorder="1" applyAlignment="1">
      <alignment horizontal="left" vertical="top"/>
    </xf>
    <xf numFmtId="0" fontId="9" fillId="8" borderId="28" xfId="0" applyFont="1" applyFill="1" applyBorder="1" applyAlignment="1">
      <alignment horizontal="left" vertical="top" wrapText="1"/>
    </xf>
    <xf numFmtId="0" fontId="9" fillId="0" borderId="28" xfId="0" applyFont="1" applyBorder="1" applyAlignment="1">
      <alignment horizontal="left" vertical="top" wrapText="1"/>
    </xf>
    <xf numFmtId="0" fontId="12" fillId="8" borderId="27" xfId="0" applyFont="1" applyFill="1" applyBorder="1" applyAlignment="1">
      <alignment horizontal="left" vertical="top"/>
    </xf>
    <xf numFmtId="0" fontId="12" fillId="0" borderId="27" xfId="0" applyFont="1" applyBorder="1" applyAlignment="1">
      <alignment horizontal="left" vertical="top"/>
    </xf>
    <xf numFmtId="0" fontId="12" fillId="8" borderId="25" xfId="0" applyFont="1" applyFill="1" applyBorder="1" applyAlignment="1">
      <alignment horizontal="left" vertical="top"/>
    </xf>
    <xf numFmtId="0" fontId="12" fillId="8" borderId="0" xfId="0" applyFont="1" applyFill="1" applyBorder="1" applyAlignment="1">
      <alignment horizontal="left" vertical="top"/>
    </xf>
    <xf numFmtId="0" fontId="9" fillId="8" borderId="0" xfId="0" applyFont="1" applyFill="1" applyBorder="1" applyAlignment="1">
      <alignment horizontal="left" vertical="top"/>
    </xf>
    <xf numFmtId="0" fontId="11" fillId="9" borderId="1" xfId="0" applyFont="1" applyFill="1" applyBorder="1" applyAlignment="1" applyProtection="1">
      <alignment horizontal="center" vertical="center" wrapText="1"/>
    </xf>
    <xf numFmtId="0" fontId="11" fillId="9" borderId="2" xfId="0" applyFont="1" applyFill="1" applyBorder="1" applyAlignment="1" applyProtection="1">
      <alignment horizontal="center" vertical="center" wrapText="1"/>
    </xf>
    <xf numFmtId="0" fontId="11" fillId="9" borderId="6" xfId="0" applyFont="1" applyFill="1" applyBorder="1" applyAlignment="1" applyProtection="1">
      <alignment horizontal="center" vertical="center" wrapText="1"/>
    </xf>
    <xf numFmtId="0" fontId="21" fillId="0" borderId="0" xfId="0" applyFont="1" applyAlignment="1" applyProtection="1">
      <alignment horizontal="right" vertical="center"/>
    </xf>
    <xf numFmtId="0" fontId="22" fillId="0" borderId="1" xfId="3" applyBorder="1" applyAlignment="1">
      <alignment vertical="center"/>
    </xf>
    <xf numFmtId="49" fontId="24" fillId="0" borderId="1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3" applyBorder="1" applyAlignment="1">
      <alignment horizontal="center" vertical="center"/>
    </xf>
    <xf numFmtId="3" fontId="24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" xfId="3" applyFill="1" applyBorder="1" applyAlignment="1">
      <alignment horizontal="center" vertical="center"/>
    </xf>
    <xf numFmtId="0" fontId="22" fillId="0" borderId="1" xfId="3" applyNumberFormat="1" applyFill="1" applyBorder="1" applyAlignment="1">
      <alignment horizontal="center" vertical="center"/>
    </xf>
    <xf numFmtId="0" fontId="23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3" fontId="4" fillId="0" borderId="1" xfId="0" applyNumberFormat="1" applyFont="1" applyBorder="1" applyAlignment="1">
      <alignment horizontal="left" vertical="center" wrapText="1"/>
    </xf>
    <xf numFmtId="14" fontId="4" fillId="0" borderId="1" xfId="0" applyNumberFormat="1" applyFont="1" applyBorder="1" applyAlignment="1">
      <alignment horizontal="center" vertical="center" wrapText="1"/>
    </xf>
    <xf numFmtId="0" fontId="22" fillId="0" borderId="1" xfId="3" applyBorder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0" borderId="12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14" xfId="2" applyFont="1" applyBorder="1" applyAlignment="1">
      <alignment horizontal="center"/>
    </xf>
    <xf numFmtId="0" fontId="7" fillId="2" borderId="8" xfId="2" applyFont="1" applyFill="1" applyBorder="1" applyAlignment="1">
      <alignment horizontal="center" vertical="center" wrapText="1"/>
    </xf>
    <xf numFmtId="0" fontId="7" fillId="2" borderId="9" xfId="2" applyFont="1" applyFill="1" applyBorder="1" applyAlignment="1">
      <alignment horizontal="center" vertical="center"/>
    </xf>
    <xf numFmtId="0" fontId="7" fillId="2" borderId="11" xfId="2" applyFont="1" applyFill="1" applyBorder="1" applyAlignment="1">
      <alignment horizontal="center" vertical="center"/>
    </xf>
    <xf numFmtId="0" fontId="7" fillId="2" borderId="12" xfId="2" applyFont="1" applyFill="1" applyBorder="1" applyAlignment="1">
      <alignment horizontal="center" vertical="center"/>
    </xf>
    <xf numFmtId="0" fontId="7" fillId="2" borderId="13" xfId="2" applyFont="1" applyFill="1" applyBorder="1" applyAlignment="1">
      <alignment horizontal="center" vertical="center"/>
    </xf>
    <xf numFmtId="0" fontId="7" fillId="2" borderId="14" xfId="2" applyFont="1" applyFill="1" applyBorder="1" applyAlignment="1">
      <alignment horizontal="center" vertical="center"/>
    </xf>
    <xf numFmtId="0" fontId="11" fillId="3" borderId="15" xfId="2" applyFont="1" applyFill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left" vertical="center" wrapText="1"/>
    </xf>
    <xf numFmtId="0" fontId="11" fillId="9" borderId="3" xfId="0" applyFont="1" applyFill="1" applyBorder="1" applyAlignment="1" applyProtection="1">
      <alignment horizontal="center" vertical="center" wrapText="1"/>
    </xf>
    <xf numFmtId="0" fontId="11" fillId="9" borderId="7" xfId="0" applyFont="1" applyFill="1" applyBorder="1" applyAlignment="1" applyProtection="1">
      <alignment horizontal="center" vertical="center" wrapText="1"/>
    </xf>
    <xf numFmtId="0" fontId="11" fillId="9" borderId="4" xfId="0" applyFont="1" applyFill="1" applyBorder="1" applyAlignment="1" applyProtection="1">
      <alignment horizontal="center" vertical="center" wrapText="1"/>
    </xf>
    <xf numFmtId="0" fontId="11" fillId="9" borderId="1" xfId="0" applyFont="1" applyFill="1" applyBorder="1" applyAlignment="1" applyProtection="1">
      <alignment horizontal="center" vertical="center" wrapText="1"/>
    </xf>
    <xf numFmtId="49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49" fontId="4" fillId="0" borderId="3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4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" xfId="3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center" vertical="center" wrapText="1"/>
    </xf>
    <xf numFmtId="0" fontId="20" fillId="9" borderId="16" xfId="0" applyNumberFormat="1" applyFont="1" applyFill="1" applyBorder="1" applyAlignment="1" applyProtection="1">
      <alignment horizontal="center" vertical="center"/>
    </xf>
    <xf numFmtId="0" fontId="20" fillId="9" borderId="17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 wrapText="1"/>
    </xf>
    <xf numFmtId="0" fontId="21" fillId="0" borderId="20" xfId="0" applyFont="1" applyFill="1" applyBorder="1" applyAlignment="1" applyProtection="1">
      <alignment horizontal="center" vertical="center" wrapText="1"/>
    </xf>
    <xf numFmtId="0" fontId="21" fillId="0" borderId="29" xfId="0" applyFont="1" applyFill="1" applyBorder="1" applyAlignment="1" applyProtection="1">
      <alignment horizontal="center" vertical="center" wrapText="1"/>
    </xf>
    <xf numFmtId="0" fontId="11" fillId="9" borderId="5" xfId="0" applyFont="1" applyFill="1" applyBorder="1" applyAlignment="1" applyProtection="1">
      <alignment horizontal="center" vertical="center" wrapText="1"/>
    </xf>
    <xf numFmtId="0" fontId="11" fillId="9" borderId="6" xfId="0" applyFont="1" applyFill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/>
    </xf>
    <xf numFmtId="0" fontId="20" fillId="9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20" fillId="9" borderId="3" xfId="0" applyNumberFormat="1" applyFont="1" applyFill="1" applyBorder="1" applyAlignment="1" applyProtection="1">
      <alignment horizontal="center" vertical="center"/>
    </xf>
    <xf numFmtId="0" fontId="20" fillId="9" borderId="7" xfId="0" applyNumberFormat="1" applyFont="1" applyFill="1" applyBorder="1" applyAlignment="1" applyProtection="1">
      <alignment horizontal="center" vertical="center"/>
    </xf>
    <xf numFmtId="0" fontId="20" fillId="9" borderId="4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/>
    </xf>
    <xf numFmtId="0" fontId="1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 vertical="center" wrapText="1"/>
    </xf>
    <xf numFmtId="0" fontId="11" fillId="0" borderId="6" xfId="0" applyFont="1" applyFill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</cellXfs>
  <cellStyles count="5">
    <cellStyle name="Hipervínculo" xfId="3" builtinId="8"/>
    <cellStyle name="Normal" xfId="0" builtinId="0"/>
    <cellStyle name="Normal 2" xfId="1" xr:uid="{00000000-0005-0000-0000-000002000000}"/>
    <cellStyle name="Normal 2 3" xfId="4" xr:uid="{00000000-0005-0000-0000-000003000000}"/>
    <cellStyle name="Normal 3" xfId="2" xr:uid="{00000000-0005-0000-0000-000004000000}"/>
  </cellStyles>
  <dxfs count="153"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theme="4"/>
        </bottom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theme="8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theme="8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fill>
        <patternFill patternType="solid">
          <fgColor indexed="64"/>
          <bgColor rgb="FF00B0F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fill>
        <patternFill patternType="solid">
          <fgColor indexed="64"/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99523</xdr:colOff>
      <xdr:row>1</xdr:row>
      <xdr:rowOff>76732</xdr:rowOff>
    </xdr:from>
    <xdr:to>
      <xdr:col>2</xdr:col>
      <xdr:colOff>1355912</xdr:colOff>
      <xdr:row>3</xdr:row>
      <xdr:rowOff>159124</xdr:rowOff>
    </xdr:to>
    <xdr:pic>
      <xdr:nvPicPr>
        <xdr:cNvPr id="2" name="1 Imagen" descr="Macintosh HD:Users:MUNICH-i:Desktop:enlace:logos-03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123" y="267232"/>
          <a:ext cx="2008864" cy="67294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104588</xdr:colOff>
      <xdr:row>1</xdr:row>
      <xdr:rowOff>134470</xdr:rowOff>
    </xdr:from>
    <xdr:to>
      <xdr:col>3</xdr:col>
      <xdr:colOff>876860</xdr:colOff>
      <xdr:row>3</xdr:row>
      <xdr:rowOff>268530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88C614-6BDE-4503-AD0C-1C7C86284CD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50"/>
        <a:stretch/>
      </xdr:blipFill>
      <xdr:spPr bwMode="auto">
        <a:xfrm>
          <a:off x="672353" y="403411"/>
          <a:ext cx="1841500" cy="896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ipoSolicitud" displayName="TBLTipoSolicitud" ref="A1:A5" totalsRowShown="0" headerRowDxfId="152" dataDxfId="150" headerRowBorderDxfId="151" tableBorderDxfId="149" totalsRowBorderDxfId="148">
  <autoFilter ref="A1:A5" xr:uid="{00000000-0009-0000-0100-000001000000}"/>
  <tableColumns count="1">
    <tableColumn id="1" xr3:uid="{00000000-0010-0000-0000-000001000000}" name="Tipo de solicitud" dataDxfId="1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ipoContrato" displayName="TBLTipoContrato" ref="B1:B4" totalsRowShown="0" headerRowDxfId="146" headerRowBorderDxfId="145" tableBorderDxfId="144" totalsRowBorderDxfId="143">
  <autoFilter ref="B1:B4" xr:uid="{00000000-0009-0000-0100-000002000000}"/>
  <tableColumns count="1">
    <tableColumn id="1" xr3:uid="{00000000-0010-0000-0100-000001000000}" name="Tipo de contrat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lanta" displayName="TBLPlanta" ref="D1:D4" totalsRowShown="0" headerRowDxfId="142" dataDxfId="140" headerRowBorderDxfId="141" tableBorderDxfId="139" totalsRowBorderDxfId="138">
  <autoFilter ref="D1:D4" xr:uid="{00000000-0009-0000-0100-000003000000}"/>
  <sortState xmlns:xlrd2="http://schemas.microsoft.com/office/spreadsheetml/2017/richdata2" ref="D2:D8">
    <sortCondition ref="D1:D8"/>
  </sortState>
  <tableColumns count="1">
    <tableColumn id="1" xr3:uid="{00000000-0010-0000-0200-000001000000}" name="Rol Planta" dataDxfId="137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15:B23" totalsRowShown="0">
  <autoFilter ref="A15:B23" xr:uid="{00000000-0009-0000-0100-000004000000}"/>
  <tableColumns count="2">
    <tableColumn id="1" xr3:uid="{00000000-0010-0000-0300-000001000000}" name="Cargo" dataDxfId="136"/>
    <tableColumn id="2" xr3:uid="{00000000-0010-0000-0300-000002000000}" name="Licenciamiento" dataDxfId="13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H1:H2" totalsRowShown="0" headerRowDxfId="134" dataDxfId="133" tableBorderDxfId="132">
  <autoFilter ref="H1:H2" xr:uid="{00000000-0009-0000-0100-000005000000}"/>
  <tableColumns count="1">
    <tableColumn id="1" xr3:uid="{00000000-0010-0000-0400-000001000000}" name="Rol Aprendiz" dataDxfId="131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1:J12" totalsRowShown="0" headerRowDxfId="130" dataDxfId="129">
  <autoFilter ref="J1:J12" xr:uid="{00000000-0009-0000-0100-000006000000}"/>
  <tableColumns count="1">
    <tableColumn id="1" xr3:uid="{00000000-0010-0000-0500-000001000000}" name="Rol_Administrativo" dataDxfId="128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6000000}" name="Tabla42" displayName="Tabla42" ref="L1:L2" totalsRowShown="0" headerRowDxfId="127" dataDxfId="126" tableBorderDxfId="125">
  <autoFilter ref="L1:L2" xr:uid="{00000000-0009-0000-0100-00002A000000}"/>
  <tableColumns count="1">
    <tableColumn id="1" xr3:uid="{00000000-0010-0000-0600-000001000000}" name="Rol_Oficial" dataDxfId="124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7000000}" name="Tabla43" displayName="Tabla43" ref="N1:N2" totalsRowShown="0" headerRowDxfId="123" dataDxfId="121" headerRowBorderDxfId="122" tableBorderDxfId="120" totalsRowBorderDxfId="119">
  <autoFilter ref="N1:N2" xr:uid="{00000000-0009-0000-0100-00002B000000}"/>
  <tableColumns count="1">
    <tableColumn id="1" xr3:uid="{00000000-0010-0000-0700-000001000000}" name="Rol_Instructor" dataDxfId="118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08000000}" name="Tabla44" displayName="Tabla44" ref="F1:F3" totalsRowShown="0" headerRowDxfId="117" dataDxfId="115" headerRowBorderDxfId="116" tableBorderDxfId="114">
  <autoFilter ref="F1:F3" xr:uid="{00000000-0009-0000-0100-00002C000000}"/>
  <tableColumns count="1">
    <tableColumn id="1" xr3:uid="{00000000-0010-0000-0800-000001000000}" name="Rol Contratista" dataDxfId="113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9000000}" name="Tabla4447" displayName="Tabla4447" ref="P1:P2" totalsRowShown="0" headerRowDxfId="112" dataDxfId="110" headerRowBorderDxfId="111" tableBorderDxfId="109">
  <autoFilter ref="P1:P2" xr:uid="{00000000-0009-0000-0100-00002E000000}"/>
  <tableColumns count="1">
    <tableColumn id="1" xr3:uid="{00000000-0010-0000-0900-000001000000}" name="Ins_contratista" dataDxfId="10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0A000000}" name="Tabla444748" displayName="Tabla444748" ref="R1:R2" totalsRowShown="0" headerRowDxfId="107" dataDxfId="105" headerRowBorderDxfId="106" tableBorderDxfId="104">
  <autoFilter ref="R1:R2" xr:uid="{00000000-0009-0000-0100-00002F000000}"/>
  <tableColumns count="1">
    <tableColumn id="1" xr3:uid="{00000000-0010-0000-0A00-000001000000}" name="Con_Administrativo" dataDxfId="103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0B000000}" name="Tabla44474849" displayName="Tabla44474849" ref="T1:T2" totalsRowShown="0" headerRowDxfId="102" dataDxfId="100" headerRowBorderDxfId="101" tableBorderDxfId="99">
  <autoFilter ref="T1:T2" xr:uid="{00000000-0009-0000-0100-000030000000}"/>
  <tableColumns count="1">
    <tableColumn id="1" xr3:uid="{00000000-0010-0000-0B00-000001000000}" name="Apre_Contr_apren" dataDxfId="9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gionales_SENA" displayName="Regionales_SENA" ref="A1:A35" totalsRowShown="0" headerRowDxfId="97">
  <autoFilter ref="A1:A35" xr:uid="{00000000-0009-0000-0100-000007000000}"/>
  <sortState xmlns:xlrd2="http://schemas.microsoft.com/office/spreadsheetml/2017/richdata2" ref="A2:A35">
    <sortCondition ref="A1:A35"/>
  </sortState>
  <tableColumns count="1">
    <tableColumn id="1" xr3:uid="{00000000-0010-0000-0C00-000001000000}" name="Regionales"/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D000000}" name="TBLDireccionGeneral" displayName="TBLDireccionGeneral" ref="B1:B13" totalsRowShown="0" headerRowDxfId="96" dataDxfId="95" tableBorderDxfId="94">
  <autoFilter ref="B1:B13" xr:uid="{00000000-0009-0000-0100-000008000000}"/>
  <sortState xmlns:xlrd2="http://schemas.microsoft.com/office/spreadsheetml/2017/richdata2" ref="B2:B19">
    <sortCondition ref="B1:B19"/>
  </sortState>
  <tableColumns count="1">
    <tableColumn id="1" xr3:uid="{00000000-0010-0000-0D00-000001000000}" name="Dirección_General" dataDxfId="93"/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E000000}" name="tblRegionalAmazonas" displayName="tblRegionalAmazonas" ref="C1:C4" totalsRowShown="0" headerRowDxfId="92" dataDxfId="91">
  <autoFilter ref="C1:C4" xr:uid="{00000000-0009-0000-0100-000009000000}"/>
  <sortState xmlns:xlrd2="http://schemas.microsoft.com/office/spreadsheetml/2017/richdata2" ref="C2:C3">
    <sortCondition ref="C1:C3"/>
  </sortState>
  <tableColumns count="1">
    <tableColumn id="1" xr3:uid="{00000000-0010-0000-0E00-000001000000}" name="Regional Amazonas" dataDxfId="90"/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F000000}" name="Regional_Antioquia" displayName="Regional_Antioquia" ref="D1:D35" totalsRowShown="0" headerRowDxfId="89">
  <autoFilter ref="D1:D35" xr:uid="{00000000-0009-0000-0100-00000A000000}"/>
  <sortState xmlns:xlrd2="http://schemas.microsoft.com/office/spreadsheetml/2017/richdata2" ref="D2:D33">
    <sortCondition ref="D1:D33"/>
  </sortState>
  <tableColumns count="1">
    <tableColumn id="1" xr3:uid="{00000000-0010-0000-0F00-000001000000}" name="Regional Antioquia"/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Regional_Arauca" displayName="Regional_Arauca" ref="E1:E7" totalsRowShown="0" headerRowDxfId="88" dataDxfId="87">
  <autoFilter ref="E1:E7" xr:uid="{00000000-0009-0000-0100-00000B000000}"/>
  <sortState xmlns:xlrd2="http://schemas.microsoft.com/office/spreadsheetml/2017/richdata2" ref="E2:E5">
    <sortCondition ref="E1:E5"/>
  </sortState>
  <tableColumns count="1">
    <tableColumn id="1" xr3:uid="{00000000-0010-0000-1000-000001000000}" name="Regional Arauca" dataDxfId="86"/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1000000}" name="Regional_Atlántico" displayName="Regional_Atlántico" ref="F1:F9" totalsRowShown="0" headerRowDxfId="85" dataDxfId="84">
  <autoFilter ref="F1:F9" xr:uid="{00000000-0009-0000-0100-00000C000000}"/>
  <sortState xmlns:xlrd2="http://schemas.microsoft.com/office/spreadsheetml/2017/richdata2" ref="F2:F7">
    <sortCondition ref="F1:F7"/>
  </sortState>
  <tableColumns count="1">
    <tableColumn id="1" xr3:uid="{00000000-0010-0000-1100-000001000000}" name="Regional Atlántico" dataDxfId="83"/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2000000}" name="Regional_Bolivar" displayName="Regional_Bolivar" ref="G1:G10" totalsRowShown="0" headerRowDxfId="82" dataDxfId="81">
  <autoFilter ref="G1:G10" xr:uid="{00000000-0009-0000-0100-00000D000000}"/>
  <sortState xmlns:xlrd2="http://schemas.microsoft.com/office/spreadsheetml/2017/richdata2" ref="G2:G9">
    <sortCondition ref="G1:G9"/>
  </sortState>
  <tableColumns count="1">
    <tableColumn id="1" xr3:uid="{00000000-0010-0000-1200-000001000000}" name="Regional Bolivar" dataDxfId="80"/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3000000}" name="Regional_Boyacá" displayName="Regional_Boyacá" ref="H1:H14" totalsRowShown="0" headerRowDxfId="79" dataDxfId="78">
  <autoFilter ref="H1:H14" xr:uid="{00000000-0009-0000-0100-00000E000000}"/>
  <sortState xmlns:xlrd2="http://schemas.microsoft.com/office/spreadsheetml/2017/richdata2" ref="H2:H13">
    <sortCondition ref="H1:H13"/>
  </sortState>
  <tableColumns count="1">
    <tableColumn id="1" xr3:uid="{00000000-0010-0000-1300-000001000000}" name="Regional Boyacá" dataDxfId="77"/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4000000}" name="Regional_Caldas" displayName="Regional_Caldas" ref="I1:I14" totalsRowShown="0" headerRowDxfId="76" dataDxfId="75">
  <autoFilter ref="I1:I14" xr:uid="{00000000-0009-0000-0100-00000F000000}"/>
  <sortState xmlns:xlrd2="http://schemas.microsoft.com/office/spreadsheetml/2017/richdata2" ref="I2:I11">
    <sortCondition ref="I1:I11"/>
  </sortState>
  <tableColumns count="1">
    <tableColumn id="1" xr3:uid="{00000000-0010-0000-1400-000001000000}" name="Regional Caldas" dataDxfId="74"/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5000000}" name="Regional_Caqueta" displayName="Regional_Caqueta" ref="J1:J5" totalsRowShown="0" headerRowDxfId="73" dataDxfId="72">
  <autoFilter ref="J1:J5" xr:uid="{00000000-0009-0000-0100-000010000000}"/>
  <sortState xmlns:xlrd2="http://schemas.microsoft.com/office/spreadsheetml/2017/richdata2" ref="J2:J4">
    <sortCondition ref="J1:J4"/>
  </sortState>
  <tableColumns count="1">
    <tableColumn id="1" xr3:uid="{00000000-0010-0000-1500-000001000000}" name="Regional Caqueta" dataDxfId="71"/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6000000}" name="Regional_Casanare" displayName="Regional_Casanare" ref="K1:K3" totalsRowShown="0" headerRowDxfId="70" dataDxfId="69">
  <autoFilter ref="K1:K3" xr:uid="{00000000-0009-0000-0100-000011000000}"/>
  <sortState xmlns:xlrd2="http://schemas.microsoft.com/office/spreadsheetml/2017/richdata2" ref="K2:K3">
    <sortCondition ref="K1:K3"/>
  </sortState>
  <tableColumns count="1">
    <tableColumn id="1" xr3:uid="{00000000-0010-0000-1600-000001000000}" name="Regional Casanare" dataDxfId="68"/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7000000}" name="Regional_Cauca" displayName="Regional_Cauca" ref="L1:L8" totalsRowShown="0" headerRowDxfId="67" dataDxfId="66">
  <autoFilter ref="L1:L8" xr:uid="{00000000-0009-0000-0100-000012000000}"/>
  <sortState xmlns:xlrd2="http://schemas.microsoft.com/office/spreadsheetml/2017/richdata2" ref="L2:L6">
    <sortCondition ref="L1:L6"/>
  </sortState>
  <tableColumns count="1">
    <tableColumn id="1" xr3:uid="{00000000-0010-0000-1700-000001000000}" name="Regional Cauca" dataDxfId="65"/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Regional_Cesar" displayName="Regional_Cesar" ref="M1:M9" totalsRowShown="0" headerRowDxfId="64">
  <autoFilter ref="M1:M9" xr:uid="{00000000-0009-0000-0100-000013000000}"/>
  <sortState xmlns:xlrd2="http://schemas.microsoft.com/office/spreadsheetml/2017/richdata2" ref="M2:M8">
    <sortCondition ref="M1:M8"/>
  </sortState>
  <tableColumns count="1">
    <tableColumn id="1" xr3:uid="{00000000-0010-0000-1800-000001000000}" name="Regional Cesar"/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9000000}" name="Regional_Chocó" displayName="Regional_Chocó" ref="N1:N5" totalsRowShown="0" headerRowDxfId="63" dataDxfId="62">
  <autoFilter ref="N1:N5" xr:uid="{00000000-0009-0000-0100-000014000000}"/>
  <sortState xmlns:xlrd2="http://schemas.microsoft.com/office/spreadsheetml/2017/richdata2" ref="N2:N5">
    <sortCondition ref="N1:N5"/>
  </sortState>
  <tableColumns count="1">
    <tableColumn id="1" xr3:uid="{00000000-0010-0000-1900-000001000000}" name="Regional Chocó" dataDxfId="61"/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A000000}" name="Regional_Cordoba" displayName="Regional_Cordoba" ref="O1:O7" totalsRowShown="0" headerRowDxfId="60" dataDxfId="59">
  <autoFilter ref="O1:O7" xr:uid="{00000000-0009-0000-0100-000015000000}"/>
  <sortState xmlns:xlrd2="http://schemas.microsoft.com/office/spreadsheetml/2017/richdata2" ref="O2:O6">
    <sortCondition ref="O1:O6"/>
  </sortState>
  <tableColumns count="1">
    <tableColumn id="1" xr3:uid="{00000000-0010-0000-1A00-000001000000}" name="Regional Cordoba" dataDxfId="58"/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B000000}" name="Regional_Cundinamarca" displayName="Regional_Cundinamarca" ref="P1:P18" totalsRowShown="0" headerRowDxfId="57" dataDxfId="56">
  <autoFilter ref="P1:P18" xr:uid="{00000000-0009-0000-0100-000016000000}"/>
  <sortState xmlns:xlrd2="http://schemas.microsoft.com/office/spreadsheetml/2017/richdata2" ref="P2:P18">
    <sortCondition ref="P1:P18"/>
  </sortState>
  <tableColumns count="1">
    <tableColumn id="1" xr3:uid="{00000000-0010-0000-1B00-000001000000}" name="Regional Cundinamarca" dataDxfId="55"/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C000000}" name="Regional_Distrito_Capital" displayName="Regional_Distrito_Capital" ref="Q1:Q32" totalsRowShown="0" headerRowDxfId="54" dataDxfId="53">
  <autoFilter ref="Q1:Q32" xr:uid="{00000000-0009-0000-0100-000017000000}"/>
  <sortState xmlns:xlrd2="http://schemas.microsoft.com/office/spreadsheetml/2017/richdata2" ref="Q2:Q32">
    <sortCondition ref="Q1:Q32"/>
  </sortState>
  <tableColumns count="1">
    <tableColumn id="1" xr3:uid="{00000000-0010-0000-1C00-000001000000}" name="Regional Distrito Capital" dataDxfId="52"/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D000000}" name="Regional_Guainía" displayName="Regional_Guainía" ref="R1:R3" totalsRowShown="0" headerRowDxfId="51" dataDxfId="50">
  <autoFilter ref="R1:R3" xr:uid="{00000000-0009-0000-0100-000018000000}"/>
  <sortState xmlns:xlrd2="http://schemas.microsoft.com/office/spreadsheetml/2017/richdata2" ref="R2:R3">
    <sortCondition ref="R1:R3"/>
  </sortState>
  <tableColumns count="1">
    <tableColumn id="1" xr3:uid="{00000000-0010-0000-1D00-000001000000}" name="Regional Guainía" dataDxfId="49"/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E000000}" name="Regional_Guajira" displayName="Regional_Guajira" ref="S1:S11" totalsRowShown="0" headerRowDxfId="48" dataDxfId="47">
  <autoFilter ref="S1:S11" xr:uid="{00000000-0009-0000-0100-000019000000}"/>
  <sortState xmlns:xlrd2="http://schemas.microsoft.com/office/spreadsheetml/2017/richdata2" ref="S2:S4">
    <sortCondition ref="S1:S4"/>
  </sortState>
  <tableColumns count="1">
    <tableColumn id="1" xr3:uid="{00000000-0010-0000-1E00-000001000000}" name="Regional Guajira" dataDxfId="46"/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F000000}" name="Regional_Guaviare" displayName="Regional_Guaviare" ref="T1:T3" totalsRowShown="0" headerRowDxfId="45" dataDxfId="44">
  <autoFilter ref="T1:T3" xr:uid="{00000000-0009-0000-0100-00001A000000}"/>
  <sortState xmlns:xlrd2="http://schemas.microsoft.com/office/spreadsheetml/2017/richdata2" ref="T2:T3">
    <sortCondition ref="T1:T3"/>
  </sortState>
  <tableColumns count="1">
    <tableColumn id="1" xr3:uid="{00000000-0010-0000-1F00-000001000000}" name="Regional Guaviare" dataDxfId="43"/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0000000}" name="Regional_Huila" displayName="Regional_Huila" ref="U1:U13" totalsRowShown="0" headerRowDxfId="42" dataDxfId="41">
  <autoFilter ref="U1:U13" xr:uid="{00000000-0009-0000-0100-00001B000000}"/>
  <sortState xmlns:xlrd2="http://schemas.microsoft.com/office/spreadsheetml/2017/richdata2" ref="U2:U11">
    <sortCondition ref="U1:U11"/>
  </sortState>
  <tableColumns count="1">
    <tableColumn id="1" xr3:uid="{00000000-0010-0000-2000-000001000000}" name="Regional Huila" dataDxfId="40"/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1000000}" name="Regional_Magdalena" displayName="Regional_Magdalena" ref="V1:V8" totalsRowShown="0" headerRowDxfId="39">
  <autoFilter ref="V1:V8" xr:uid="{00000000-0009-0000-0100-00001C000000}"/>
  <sortState xmlns:xlrd2="http://schemas.microsoft.com/office/spreadsheetml/2017/richdata2" ref="V2:V8">
    <sortCondition ref="V1:V8"/>
  </sortState>
  <tableColumns count="1">
    <tableColumn id="1" xr3:uid="{00000000-0010-0000-2100-000001000000}" name="Regional Magdalena"/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2000000}" name="Regional_Meta" displayName="Regional_Meta" ref="W1:W8" totalsRowShown="0" headerRowDxfId="38" dataDxfId="37">
  <autoFilter ref="W1:W8" xr:uid="{00000000-0009-0000-0100-00001D000000}"/>
  <sortState xmlns:xlrd2="http://schemas.microsoft.com/office/spreadsheetml/2017/richdata2" ref="W2:W6">
    <sortCondition ref="W1:W6"/>
  </sortState>
  <tableColumns count="1">
    <tableColumn id="1" xr3:uid="{00000000-0010-0000-2200-000001000000}" name="Regional Meta" dataDxfId="36"/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3000000}" name="Regional_Narino" displayName="Regional_Narino" ref="X1:X10" totalsRowShown="0" headerRowDxfId="35" dataDxfId="34">
  <autoFilter ref="X1:X10" xr:uid="{00000000-0009-0000-0100-00001E000000}"/>
  <sortState xmlns:xlrd2="http://schemas.microsoft.com/office/spreadsheetml/2017/richdata2" ref="X2:X10">
    <sortCondition ref="X1:X10"/>
  </sortState>
  <tableColumns count="1">
    <tableColumn id="1" xr3:uid="{00000000-0010-0000-2300-000001000000}" name="Regional Narino" dataDxfId="33"/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4000000}" name="Regional_Norte_de_Santander" displayName="Regional_Norte_de_Santander" ref="Y1:Y11" totalsRowShown="0" headerRowDxfId="32" dataDxfId="31">
  <autoFilter ref="Y1:Y11" xr:uid="{00000000-0009-0000-0100-00001F000000}"/>
  <sortState xmlns:xlrd2="http://schemas.microsoft.com/office/spreadsheetml/2017/richdata2" ref="Y2:Y8">
    <sortCondition ref="Y1:Y8"/>
  </sortState>
  <tableColumns count="1">
    <tableColumn id="1" xr3:uid="{00000000-0010-0000-2400-000001000000}" name="Regional Norte de Santander" dataDxfId="30"/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Regional_Putumayo" displayName="Regional_Putumayo" ref="Z1:Z6" totalsRowShown="0" headerRowDxfId="29" dataDxfId="28">
  <autoFilter ref="Z1:Z6" xr:uid="{00000000-0009-0000-0100-000020000000}"/>
  <sortState xmlns:xlrd2="http://schemas.microsoft.com/office/spreadsheetml/2017/richdata2" ref="Z2:Z6">
    <sortCondition ref="Z1:Z6"/>
  </sortState>
  <tableColumns count="1">
    <tableColumn id="1" xr3:uid="{00000000-0010-0000-2500-000001000000}" name="Regional Putumayo" dataDxfId="27"/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6000000}" name="Regional_Quindio" displayName="Regional_Quindio" ref="AA1:AA5" totalsRowShown="0" headerRowDxfId="26" dataDxfId="25">
  <autoFilter ref="AA1:AA5" xr:uid="{00000000-0009-0000-0100-000021000000}"/>
  <sortState xmlns:xlrd2="http://schemas.microsoft.com/office/spreadsheetml/2017/richdata2" ref="AA2:AA5">
    <sortCondition ref="AA1:AA5"/>
  </sortState>
  <tableColumns count="1">
    <tableColumn id="1" xr3:uid="{00000000-0010-0000-2600-000001000000}" name="Regional Quindio" dataDxfId="24"/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7000000}" name="Regional_Risaralda" displayName="Regional_Risaralda" ref="AB1:AB11" totalsRowShown="0" headerRowDxfId="23" dataDxfId="22">
  <autoFilter ref="AB1:AB11" xr:uid="{00000000-0009-0000-0100-000022000000}"/>
  <sortState xmlns:xlrd2="http://schemas.microsoft.com/office/spreadsheetml/2017/richdata2" ref="AB2:AB7">
    <sortCondition ref="AB1:AB7"/>
  </sortState>
  <tableColumns count="1">
    <tableColumn id="1" xr3:uid="{00000000-0010-0000-2700-000001000000}" name="Regional Risaralda" dataDxfId="21"/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8000000}" name="Regional_San_Andres" displayName="Regional_San_Andres" ref="AC1:AC5" totalsRowShown="0" headerRowDxfId="20" dataDxfId="19">
  <autoFilter ref="AC1:AC5" xr:uid="{00000000-0009-0000-0100-000023000000}"/>
  <sortState xmlns:xlrd2="http://schemas.microsoft.com/office/spreadsheetml/2017/richdata2" ref="AC2:AC5">
    <sortCondition ref="AC1:AC5"/>
  </sortState>
  <tableColumns count="1">
    <tableColumn id="1" xr3:uid="{00000000-0010-0000-2800-000001000000}" name="Regional San Andres" dataDxfId="18"/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9000000}" name="Regional_Santander" displayName="Regional_Santander" ref="AD1:AD19" totalsRowShown="0" headerRowDxfId="17" dataDxfId="16">
  <autoFilter ref="AD1:AD19" xr:uid="{00000000-0009-0000-0100-000024000000}"/>
  <sortState xmlns:xlrd2="http://schemas.microsoft.com/office/spreadsheetml/2017/richdata2" ref="AD2:AD17">
    <sortCondition ref="AD1:AD17"/>
  </sortState>
  <tableColumns count="1">
    <tableColumn id="1" xr3:uid="{00000000-0010-0000-2900-000001000000}" name="Regional Santander" dataDxfId="15"/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A000000}" name="Regional_Sucre" displayName="Regional_Sucre" ref="AE1:AE7" totalsRowShown="0" headerRowDxfId="14" dataDxfId="13">
  <autoFilter ref="AE1:AE7" xr:uid="{00000000-0009-0000-0100-000025000000}"/>
  <sortState xmlns:xlrd2="http://schemas.microsoft.com/office/spreadsheetml/2017/richdata2" ref="AE2:AE3">
    <sortCondition ref="AE1:AE3"/>
  </sortState>
  <tableColumns count="1">
    <tableColumn id="1" xr3:uid="{00000000-0010-0000-2A00-000001000000}" name="Regional Sucre" dataDxfId="12"/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B000000}" name="Regional_Tolima" displayName="Regional_Tolima" ref="AF1:AF9" totalsRowShown="0" headerRowDxfId="11" dataDxfId="10">
  <autoFilter ref="AF1:AF9" xr:uid="{00000000-0009-0000-0100-000026000000}"/>
  <sortState xmlns:xlrd2="http://schemas.microsoft.com/office/spreadsheetml/2017/richdata2" ref="AF2:AF7">
    <sortCondition ref="AF1:AF7"/>
  </sortState>
  <tableColumns count="1">
    <tableColumn id="1" xr3:uid="{00000000-0010-0000-2B00-000001000000}" name="Regional Tolima" dataDxfId="9"/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C000000}" name="Regional_Valle" displayName="Regional_Valle" ref="AG1:AG21" totalsRowShown="0" headerRowDxfId="8" dataDxfId="7">
  <autoFilter ref="AG1:AG21" xr:uid="{00000000-0009-0000-0100-000027000000}"/>
  <sortState xmlns:xlrd2="http://schemas.microsoft.com/office/spreadsheetml/2017/richdata2" ref="AG2:AG17">
    <sortCondition ref="AG1:AG17"/>
  </sortState>
  <tableColumns count="1">
    <tableColumn id="1" xr3:uid="{00000000-0010-0000-2C00-000001000000}" name="Regional Valle" dataDxfId="6"/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D000000}" name="Regional_Vaupés" displayName="Regional_Vaupés" ref="AH1:AH4" totalsRowShown="0" headerRowDxfId="5" dataDxfId="4">
  <autoFilter ref="AH1:AH4" xr:uid="{00000000-0009-0000-0100-000028000000}"/>
  <sortState xmlns:xlrd2="http://schemas.microsoft.com/office/spreadsheetml/2017/richdata2" ref="AH2:AH4">
    <sortCondition ref="AH1:AH4"/>
  </sortState>
  <tableColumns count="1">
    <tableColumn id="1" xr3:uid="{00000000-0010-0000-2D00-000001000000}" name="Regional Vaupés" dataDxfId="3"/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E000000}" name="Regional_Vichada" displayName="Regional_Vichada" ref="AI1:AI3" totalsRowShown="0" headerRowDxfId="2" dataDxfId="1">
  <autoFilter ref="AI1:AI3" xr:uid="{00000000-0009-0000-0100-000029000000}"/>
  <sortState xmlns:xlrd2="http://schemas.microsoft.com/office/spreadsheetml/2017/richdata2" ref="AI2:AI3">
    <sortCondition ref="AI1:AI3"/>
  </sortState>
  <tableColumns count="1">
    <tableColumn id="1" xr3:uid="{00000000-0010-0000-2E00-000001000000}" name="Regional Vichada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4.xml"/><Relationship Id="rId18" Type="http://schemas.openxmlformats.org/officeDocument/2006/relationships/table" Target="../tables/table29.xml"/><Relationship Id="rId26" Type="http://schemas.openxmlformats.org/officeDocument/2006/relationships/table" Target="../tables/table37.xml"/><Relationship Id="rId3" Type="http://schemas.openxmlformats.org/officeDocument/2006/relationships/table" Target="../tables/table14.xml"/><Relationship Id="rId21" Type="http://schemas.openxmlformats.org/officeDocument/2006/relationships/table" Target="../tables/table32.xml"/><Relationship Id="rId34" Type="http://schemas.openxmlformats.org/officeDocument/2006/relationships/table" Target="../tables/table45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5" Type="http://schemas.openxmlformats.org/officeDocument/2006/relationships/table" Target="../tables/table36.xml"/><Relationship Id="rId33" Type="http://schemas.openxmlformats.org/officeDocument/2006/relationships/table" Target="../tables/table44.xml"/><Relationship Id="rId2" Type="http://schemas.openxmlformats.org/officeDocument/2006/relationships/table" Target="../tables/table13.xml"/><Relationship Id="rId16" Type="http://schemas.openxmlformats.org/officeDocument/2006/relationships/table" Target="../tables/table27.xml"/><Relationship Id="rId20" Type="http://schemas.openxmlformats.org/officeDocument/2006/relationships/table" Target="../tables/table31.xml"/><Relationship Id="rId29" Type="http://schemas.openxmlformats.org/officeDocument/2006/relationships/table" Target="../tables/table40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24" Type="http://schemas.openxmlformats.org/officeDocument/2006/relationships/table" Target="../tables/table35.xml"/><Relationship Id="rId32" Type="http://schemas.openxmlformats.org/officeDocument/2006/relationships/table" Target="../tables/table43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23" Type="http://schemas.openxmlformats.org/officeDocument/2006/relationships/table" Target="../tables/table34.xml"/><Relationship Id="rId28" Type="http://schemas.openxmlformats.org/officeDocument/2006/relationships/table" Target="../tables/table39.xml"/><Relationship Id="rId36" Type="http://schemas.openxmlformats.org/officeDocument/2006/relationships/table" Target="../tables/table47.xml"/><Relationship Id="rId10" Type="http://schemas.openxmlformats.org/officeDocument/2006/relationships/table" Target="../tables/table21.xml"/><Relationship Id="rId19" Type="http://schemas.openxmlformats.org/officeDocument/2006/relationships/table" Target="../tables/table30.xml"/><Relationship Id="rId31" Type="http://schemas.openxmlformats.org/officeDocument/2006/relationships/table" Target="../tables/table42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Relationship Id="rId22" Type="http://schemas.openxmlformats.org/officeDocument/2006/relationships/table" Target="../tables/table33.xml"/><Relationship Id="rId27" Type="http://schemas.openxmlformats.org/officeDocument/2006/relationships/table" Target="../tables/table38.xml"/><Relationship Id="rId30" Type="http://schemas.openxmlformats.org/officeDocument/2006/relationships/table" Target="../tables/table41.xml"/><Relationship Id="rId35" Type="http://schemas.openxmlformats.org/officeDocument/2006/relationships/table" Target="../tables/table46.xml"/><Relationship Id="rId8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3"/>
  <sheetViews>
    <sheetView showGridLines="0" workbookViewId="0">
      <selection activeCell="C13" sqref="C13"/>
    </sheetView>
  </sheetViews>
  <sheetFormatPr baseColWidth="10" defaultColWidth="11.42578125" defaultRowHeight="12.75" x14ac:dyDescent="0.2"/>
  <cols>
    <col min="1" max="1" width="3.42578125" style="11" customWidth="1"/>
    <col min="2" max="2" width="11.28515625" style="18" bestFit="1" customWidth="1"/>
    <col min="3" max="3" width="21.28515625" style="12" customWidth="1"/>
    <col min="4" max="4" width="34.7109375" style="12" customWidth="1"/>
    <col min="5" max="5" width="33.28515625" style="12" customWidth="1"/>
    <col min="6" max="6" width="24.28515625" style="12" customWidth="1"/>
    <col min="7" max="7" width="45.140625" style="12" customWidth="1"/>
    <col min="8" max="8" width="4.42578125" style="12" customWidth="1"/>
    <col min="9" max="16384" width="11.42578125" style="12"/>
  </cols>
  <sheetData>
    <row r="1" spans="1:11" s="3" customFormat="1" ht="15" x14ac:dyDescent="0.25">
      <c r="A1" s="2"/>
      <c r="F1" s="4"/>
      <c r="G1" s="5"/>
      <c r="H1" s="4"/>
      <c r="I1" s="5"/>
      <c r="J1" s="4"/>
      <c r="K1" s="5"/>
    </row>
    <row r="2" spans="1:11" s="9" customFormat="1" ht="23.25" customHeight="1" x14ac:dyDescent="0.2">
      <c r="A2" s="6"/>
      <c r="B2" s="104"/>
      <c r="C2" s="105"/>
      <c r="D2" s="110" t="s">
        <v>20</v>
      </c>
      <c r="E2" s="111"/>
      <c r="F2" s="7" t="s">
        <v>25</v>
      </c>
      <c r="G2" s="8" t="s">
        <v>21</v>
      </c>
    </row>
    <row r="3" spans="1:11" s="9" customFormat="1" ht="23.25" customHeight="1" x14ac:dyDescent="0.2">
      <c r="A3" s="6"/>
      <c r="B3" s="106"/>
      <c r="C3" s="107"/>
      <c r="D3" s="112"/>
      <c r="E3" s="113"/>
      <c r="F3" s="7" t="s">
        <v>18</v>
      </c>
      <c r="G3" s="10">
        <v>42328</v>
      </c>
    </row>
    <row r="4" spans="1:11" s="9" customFormat="1" ht="23.25" customHeight="1" x14ac:dyDescent="0.2">
      <c r="A4" s="6"/>
      <c r="B4" s="108"/>
      <c r="C4" s="109"/>
      <c r="D4" s="114"/>
      <c r="E4" s="115"/>
      <c r="F4" s="7" t="s">
        <v>19</v>
      </c>
      <c r="G4" s="8">
        <v>5</v>
      </c>
    </row>
    <row r="5" spans="1:11" s="3" customFormat="1" ht="15" x14ac:dyDescent="0.25">
      <c r="A5" s="2"/>
      <c r="F5" s="4"/>
      <c r="G5" s="5"/>
      <c r="H5" s="4"/>
      <c r="I5" s="5"/>
      <c r="J5" s="4"/>
      <c r="K5" s="5"/>
    </row>
    <row r="7" spans="1:11" ht="18.75" customHeight="1" x14ac:dyDescent="0.2">
      <c r="B7" s="116" t="s">
        <v>26</v>
      </c>
      <c r="C7" s="116"/>
      <c r="D7" s="116"/>
      <c r="E7" s="116"/>
      <c r="F7" s="116"/>
      <c r="G7" s="116"/>
    </row>
    <row r="8" spans="1:11" ht="24" customHeight="1" x14ac:dyDescent="0.2">
      <c r="B8" s="13" t="s">
        <v>19</v>
      </c>
      <c r="C8" s="13" t="s">
        <v>27</v>
      </c>
      <c r="D8" s="13" t="s">
        <v>28</v>
      </c>
      <c r="E8" s="13" t="s">
        <v>29</v>
      </c>
      <c r="F8" s="13" t="s">
        <v>30</v>
      </c>
      <c r="G8" s="13" t="s">
        <v>31</v>
      </c>
    </row>
    <row r="9" spans="1:11" ht="24" customHeight="1" x14ac:dyDescent="0.2">
      <c r="B9" s="15">
        <v>1</v>
      </c>
      <c r="C9" s="16">
        <v>42175</v>
      </c>
      <c r="D9" s="15" t="s">
        <v>32</v>
      </c>
      <c r="E9" s="15" t="s">
        <v>37</v>
      </c>
      <c r="F9" s="15" t="s">
        <v>34</v>
      </c>
      <c r="G9" s="15" t="s">
        <v>35</v>
      </c>
    </row>
    <row r="10" spans="1:11" s="17" customFormat="1" ht="37.5" customHeight="1" x14ac:dyDescent="0.2">
      <c r="A10" s="14"/>
      <c r="B10" s="15">
        <v>2</v>
      </c>
      <c r="C10" s="16">
        <v>42328</v>
      </c>
      <c r="D10" s="15" t="s">
        <v>36</v>
      </c>
      <c r="E10" s="15" t="s">
        <v>33</v>
      </c>
      <c r="F10" s="15" t="s">
        <v>34</v>
      </c>
      <c r="G10" s="15" t="s">
        <v>35</v>
      </c>
    </row>
    <row r="11" spans="1:11" ht="30.75" customHeight="1" x14ac:dyDescent="0.2">
      <c r="B11" s="15">
        <v>3</v>
      </c>
      <c r="C11" s="16">
        <v>42583</v>
      </c>
      <c r="D11" s="15" t="s">
        <v>45</v>
      </c>
      <c r="E11" s="15" t="s">
        <v>46</v>
      </c>
      <c r="F11" s="15" t="s">
        <v>34</v>
      </c>
      <c r="G11" s="15" t="s">
        <v>47</v>
      </c>
    </row>
    <row r="12" spans="1:11" ht="25.5" x14ac:dyDescent="0.2">
      <c r="B12" s="15">
        <v>4</v>
      </c>
      <c r="C12" s="16">
        <v>43019</v>
      </c>
      <c r="D12" s="15" t="s">
        <v>81</v>
      </c>
      <c r="E12" s="15" t="s">
        <v>46</v>
      </c>
      <c r="F12" s="15" t="s">
        <v>82</v>
      </c>
      <c r="G12" s="15" t="s">
        <v>47</v>
      </c>
    </row>
    <row r="13" spans="1:11" ht="25.5" x14ac:dyDescent="0.2">
      <c r="B13" s="15">
        <v>5</v>
      </c>
      <c r="C13" s="16">
        <v>43454</v>
      </c>
      <c r="D13" s="15" t="s">
        <v>131</v>
      </c>
      <c r="E13" s="15" t="s">
        <v>46</v>
      </c>
      <c r="F13" s="15" t="s">
        <v>82</v>
      </c>
      <c r="G13" s="15" t="s">
        <v>132</v>
      </c>
    </row>
  </sheetData>
  <mergeCells count="3">
    <mergeCell ref="B2:C4"/>
    <mergeCell ref="D2:E4"/>
    <mergeCell ref="B7:G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B1:T40"/>
  <sheetViews>
    <sheetView showGridLines="0" tabSelected="1" view="pageLayout" topLeftCell="B23" zoomScale="80" zoomScaleNormal="85" zoomScaleSheetLayoutView="100" zoomScalePageLayoutView="80" workbookViewId="0">
      <selection activeCell="D42" sqref="D42"/>
    </sheetView>
  </sheetViews>
  <sheetFormatPr baseColWidth="10" defaultColWidth="11.42578125" defaultRowHeight="12.75" x14ac:dyDescent="0.2"/>
  <cols>
    <col min="1" max="1" width="4" style="26" customWidth="1"/>
    <col min="2" max="2" width="4.140625" style="26" customWidth="1"/>
    <col min="3" max="3" width="15.140625" style="26" customWidth="1"/>
    <col min="4" max="4" width="30.140625" style="26" customWidth="1"/>
    <col min="5" max="5" width="36.42578125" style="26" customWidth="1"/>
    <col min="6" max="6" width="26.42578125" style="26" customWidth="1"/>
    <col min="7" max="7" width="20.42578125" style="26" customWidth="1"/>
    <col min="8" max="8" width="7.42578125" style="26" customWidth="1"/>
    <col min="9" max="9" width="6" style="26" customWidth="1"/>
    <col min="10" max="10" width="32.85546875" style="26" customWidth="1"/>
    <col min="11" max="11" width="26" style="26" customWidth="1"/>
    <col min="12" max="12" width="22.5703125" style="26" customWidth="1"/>
    <col min="13" max="13" width="45.28515625" style="26" customWidth="1"/>
    <col min="14" max="14" width="21.140625" style="26" customWidth="1"/>
    <col min="15" max="15" width="27.28515625" style="26" customWidth="1"/>
    <col min="16" max="16" width="22.42578125" style="26" customWidth="1"/>
    <col min="17" max="17" width="25.85546875" style="26" customWidth="1"/>
    <col min="18" max="18" width="31.28515625" style="26" bestFit="1" customWidth="1"/>
    <col min="19" max="19" width="11.42578125" style="26"/>
    <col min="20" max="20" width="21.85546875" style="26" bestFit="1" customWidth="1"/>
    <col min="21" max="16384" width="11.42578125" style="26"/>
  </cols>
  <sheetData>
    <row r="1" spans="2:20" ht="21" customHeight="1" x14ac:dyDescent="0.2"/>
    <row r="2" spans="2:20" ht="30" customHeight="1" x14ac:dyDescent="0.2">
      <c r="B2" s="140"/>
      <c r="C2" s="140"/>
      <c r="D2" s="140"/>
      <c r="E2" s="142" t="s">
        <v>431</v>
      </c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27"/>
    </row>
    <row r="3" spans="2:20" ht="30" customHeight="1" x14ac:dyDescent="0.2">
      <c r="B3" s="140"/>
      <c r="C3" s="140"/>
      <c r="D3" s="140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27"/>
    </row>
    <row r="4" spans="2:20" ht="30" customHeight="1" x14ac:dyDescent="0.2">
      <c r="B4" s="140"/>
      <c r="C4" s="140"/>
      <c r="D4" s="140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27"/>
    </row>
    <row r="5" spans="2:20" ht="17.25" customHeight="1" x14ac:dyDescent="0.2">
      <c r="C5" s="28"/>
      <c r="D5" s="28"/>
    </row>
    <row r="6" spans="2:20" ht="21" customHeight="1" x14ac:dyDescent="0.2">
      <c r="B6" s="141" t="s">
        <v>23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</row>
    <row r="7" spans="2:20" ht="18" customHeight="1" x14ac:dyDescent="0.2">
      <c r="B7" s="121" t="s">
        <v>0</v>
      </c>
      <c r="C7" s="121"/>
      <c r="D7" s="121"/>
      <c r="E7" s="121" t="s">
        <v>1</v>
      </c>
      <c r="F7" s="121"/>
      <c r="G7" s="121"/>
      <c r="H7" s="121"/>
      <c r="I7" s="121" t="s">
        <v>2</v>
      </c>
      <c r="J7" s="121"/>
      <c r="K7" s="121"/>
      <c r="L7" s="121"/>
      <c r="M7" s="121" t="s">
        <v>154</v>
      </c>
      <c r="N7" s="121"/>
      <c r="O7" s="121"/>
      <c r="P7" s="118" t="s">
        <v>155</v>
      </c>
      <c r="Q7" s="119"/>
      <c r="R7" s="120"/>
    </row>
    <row r="8" spans="2:20" ht="18" customHeight="1" x14ac:dyDescent="0.2">
      <c r="B8" s="123"/>
      <c r="C8" s="124"/>
      <c r="D8" s="125"/>
      <c r="E8" s="123"/>
      <c r="F8" s="124"/>
      <c r="G8" s="124"/>
      <c r="H8" s="125"/>
      <c r="I8" s="126"/>
      <c r="J8" s="127"/>
      <c r="K8" s="127"/>
      <c r="L8" s="128"/>
      <c r="M8" s="122"/>
      <c r="N8" s="122"/>
      <c r="O8" s="122"/>
      <c r="P8" s="126" t="s">
        <v>124</v>
      </c>
      <c r="Q8" s="127"/>
      <c r="R8" s="128"/>
    </row>
    <row r="9" spans="2:20" ht="6" customHeight="1" x14ac:dyDescent="0.2">
      <c r="C9" s="29"/>
      <c r="D9" s="29"/>
      <c r="E9" s="29"/>
      <c r="F9" s="29"/>
      <c r="G9" s="29"/>
      <c r="H9" s="29"/>
      <c r="I9" s="29"/>
      <c r="J9" s="29"/>
      <c r="K9" s="29"/>
      <c r="L9" s="135"/>
      <c r="M9" s="135"/>
      <c r="N9" s="135"/>
      <c r="O9" s="135"/>
      <c r="P9" s="135"/>
      <c r="Q9" s="33"/>
      <c r="R9" s="30"/>
    </row>
    <row r="10" spans="2:20" ht="4.5" customHeight="1" x14ac:dyDescent="0.2"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2:20" s="36" customFormat="1" ht="21" customHeight="1" x14ac:dyDescent="0.2">
      <c r="B11" s="143" t="s">
        <v>24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5"/>
    </row>
    <row r="12" spans="2:20" ht="57" customHeight="1" x14ac:dyDescent="0.2">
      <c r="B12" s="87" t="s">
        <v>22</v>
      </c>
      <c r="C12" s="88" t="s">
        <v>8</v>
      </c>
      <c r="D12" s="88" t="s">
        <v>10</v>
      </c>
      <c r="E12" s="88" t="s">
        <v>0</v>
      </c>
      <c r="F12" s="88" t="s">
        <v>1</v>
      </c>
      <c r="G12" s="88" t="s">
        <v>6</v>
      </c>
      <c r="H12" s="138" t="s">
        <v>44</v>
      </c>
      <c r="I12" s="139"/>
      <c r="J12" s="89" t="s">
        <v>96</v>
      </c>
      <c r="K12" s="88" t="s">
        <v>2</v>
      </c>
      <c r="L12" s="88" t="s">
        <v>154</v>
      </c>
      <c r="M12" s="88" t="s">
        <v>155</v>
      </c>
      <c r="N12" s="88" t="s">
        <v>48</v>
      </c>
      <c r="O12" s="88" t="s">
        <v>9</v>
      </c>
      <c r="P12" s="88" t="s">
        <v>13</v>
      </c>
      <c r="Q12" s="88" t="s">
        <v>95</v>
      </c>
      <c r="R12" s="88" t="s">
        <v>15</v>
      </c>
      <c r="T12" s="35"/>
    </row>
    <row r="13" spans="2:20" s="40" customFormat="1" ht="28.5" customHeight="1" x14ac:dyDescent="0.2">
      <c r="B13" s="37">
        <v>1</v>
      </c>
      <c r="C13" s="92"/>
      <c r="D13" s="97"/>
      <c r="E13" s="100"/>
      <c r="F13" s="100"/>
      <c r="G13" s="101"/>
      <c r="H13" s="129"/>
      <c r="I13" s="130"/>
      <c r="J13" s="96"/>
      <c r="K13" s="38"/>
      <c r="L13" s="100"/>
      <c r="M13" s="100"/>
      <c r="N13" s="102"/>
      <c r="O13" s="103"/>
      <c r="P13" s="100"/>
      <c r="Q13" s="34"/>
      <c r="R13" s="136"/>
      <c r="T13" s="40" t="str">
        <f>IFERROR(VLOOKUP(K13,Tabla4[],2,0),"")</f>
        <v/>
      </c>
    </row>
    <row r="14" spans="2:20" s="40" customFormat="1" ht="28.5" customHeight="1" x14ac:dyDescent="0.2">
      <c r="B14" s="37">
        <f>B13+1</f>
        <v>2</v>
      </c>
      <c r="C14" s="92"/>
      <c r="D14" s="97"/>
      <c r="E14" s="99"/>
      <c r="F14" s="99"/>
      <c r="G14" s="95"/>
      <c r="H14" s="129"/>
      <c r="I14" s="130"/>
      <c r="J14" s="96"/>
      <c r="K14" s="38"/>
      <c r="L14" s="96"/>
      <c r="M14" s="96"/>
      <c r="N14" s="39"/>
      <c r="O14" s="94"/>
      <c r="P14" s="93"/>
      <c r="Q14" s="34"/>
      <c r="R14" s="137"/>
      <c r="T14" s="40" t="str">
        <f>IFERROR(VLOOKUP(K14,Tabla4[],2,0),"")</f>
        <v/>
      </c>
    </row>
    <row r="15" spans="2:20" s="40" customFormat="1" ht="28.5" customHeight="1" x14ac:dyDescent="0.2">
      <c r="B15" s="37">
        <f t="shared" ref="B15:B30" si="0">B14+1</f>
        <v>3</v>
      </c>
      <c r="C15" s="92"/>
      <c r="D15" s="97"/>
      <c r="E15" s="99"/>
      <c r="F15" s="99"/>
      <c r="G15" s="95"/>
      <c r="H15" s="129"/>
      <c r="I15" s="130"/>
      <c r="J15" s="96"/>
      <c r="K15" s="38"/>
      <c r="L15" s="96"/>
      <c r="M15" s="96"/>
      <c r="N15" s="39"/>
      <c r="O15" s="91"/>
      <c r="P15" s="93"/>
      <c r="Q15" s="34"/>
      <c r="R15" s="137"/>
      <c r="T15" s="40" t="str">
        <f>IFERROR(VLOOKUP(K15,Tabla4[],2,0),"")</f>
        <v/>
      </c>
    </row>
    <row r="16" spans="2:20" s="40" customFormat="1" ht="28.5" customHeight="1" x14ac:dyDescent="0.2">
      <c r="B16" s="37">
        <f t="shared" si="0"/>
        <v>4</v>
      </c>
      <c r="C16" s="92"/>
      <c r="D16" s="97"/>
      <c r="E16" s="99"/>
      <c r="F16" s="99"/>
      <c r="G16" s="95"/>
      <c r="H16" s="129"/>
      <c r="I16" s="130"/>
      <c r="J16" s="96"/>
      <c r="K16" s="38"/>
      <c r="L16" s="96"/>
      <c r="M16" s="96"/>
      <c r="N16" s="39"/>
      <c r="O16" s="91"/>
      <c r="P16" s="93"/>
      <c r="Q16" s="34"/>
      <c r="R16" s="137"/>
      <c r="T16" s="40" t="str">
        <f>IFERROR(VLOOKUP(K16,Tabla4[],2,0),"")</f>
        <v/>
      </c>
    </row>
    <row r="17" spans="2:18" s="40" customFormat="1" ht="28.5" customHeight="1" x14ac:dyDescent="0.2">
      <c r="B17" s="37">
        <f t="shared" si="0"/>
        <v>5</v>
      </c>
      <c r="C17" s="92"/>
      <c r="D17" s="98"/>
      <c r="E17" s="99"/>
      <c r="F17" s="99"/>
      <c r="G17" s="95"/>
      <c r="H17" s="129"/>
      <c r="I17" s="130"/>
      <c r="J17" s="96"/>
      <c r="K17" s="38"/>
      <c r="L17" s="96"/>
      <c r="M17" s="96"/>
      <c r="N17" s="39"/>
      <c r="O17" s="91"/>
      <c r="P17" s="93"/>
      <c r="Q17" s="96"/>
      <c r="R17" s="137"/>
    </row>
    <row r="18" spans="2:18" s="40" customFormat="1" ht="28.5" customHeight="1" x14ac:dyDescent="0.2">
      <c r="B18" s="37">
        <f t="shared" si="0"/>
        <v>6</v>
      </c>
      <c r="C18" s="92"/>
      <c r="D18" s="97"/>
      <c r="E18" s="99"/>
      <c r="F18" s="99"/>
      <c r="G18" s="95"/>
      <c r="H18" s="129"/>
      <c r="I18" s="130"/>
      <c r="J18" s="96"/>
      <c r="K18" s="38"/>
      <c r="L18" s="96"/>
      <c r="M18" s="96"/>
      <c r="N18" s="39"/>
      <c r="O18" s="91"/>
      <c r="P18" s="93"/>
      <c r="Q18" s="96"/>
      <c r="R18" s="137"/>
    </row>
    <row r="19" spans="2:18" s="40" customFormat="1" ht="28.5" customHeight="1" x14ac:dyDescent="0.2">
      <c r="B19" s="37">
        <f t="shared" si="0"/>
        <v>7</v>
      </c>
      <c r="C19" s="92"/>
      <c r="D19" s="97"/>
      <c r="E19" s="99"/>
      <c r="F19" s="99"/>
      <c r="G19" s="95"/>
      <c r="H19" s="129"/>
      <c r="I19" s="130"/>
      <c r="J19" s="96"/>
      <c r="K19" s="38"/>
      <c r="L19" s="96"/>
      <c r="M19" s="96"/>
      <c r="N19" s="39"/>
      <c r="O19" s="91"/>
      <c r="P19" s="93"/>
      <c r="Q19" s="96"/>
      <c r="R19" s="137"/>
    </row>
    <row r="20" spans="2:18" s="40" customFormat="1" ht="28.5" customHeight="1" x14ac:dyDescent="0.2">
      <c r="B20" s="37">
        <f t="shared" si="0"/>
        <v>8</v>
      </c>
      <c r="C20" s="92"/>
      <c r="D20" s="97"/>
      <c r="E20" s="99"/>
      <c r="F20" s="99"/>
      <c r="G20" s="95"/>
      <c r="H20" s="129"/>
      <c r="I20" s="130"/>
      <c r="J20" s="96"/>
      <c r="K20" s="38"/>
      <c r="L20" s="96"/>
      <c r="M20" s="96"/>
      <c r="N20" s="39"/>
      <c r="O20" s="91"/>
      <c r="P20" s="93"/>
      <c r="Q20" s="96"/>
      <c r="R20" s="137"/>
    </row>
    <row r="21" spans="2:18" s="40" customFormat="1" ht="28.5" customHeight="1" x14ac:dyDescent="0.2">
      <c r="B21" s="37">
        <f t="shared" si="0"/>
        <v>9</v>
      </c>
      <c r="C21" s="92"/>
      <c r="D21" s="97"/>
      <c r="E21" s="99"/>
      <c r="F21" s="99"/>
      <c r="G21" s="95"/>
      <c r="H21" s="129"/>
      <c r="I21" s="130"/>
      <c r="J21" s="96"/>
      <c r="K21" s="38"/>
      <c r="L21" s="96"/>
      <c r="M21" s="96"/>
      <c r="N21" s="39"/>
      <c r="O21" s="91"/>
      <c r="P21" s="93"/>
      <c r="Q21" s="96"/>
      <c r="R21" s="137"/>
    </row>
    <row r="22" spans="2:18" s="40" customFormat="1" ht="28.5" customHeight="1" x14ac:dyDescent="0.2">
      <c r="B22" s="37">
        <f t="shared" si="0"/>
        <v>10</v>
      </c>
      <c r="C22" s="92"/>
      <c r="D22" s="97"/>
      <c r="E22" s="99"/>
      <c r="F22" s="99"/>
      <c r="G22" s="95"/>
      <c r="H22" s="129"/>
      <c r="I22" s="130"/>
      <c r="J22" s="96"/>
      <c r="K22" s="38"/>
      <c r="L22" s="96"/>
      <c r="M22" s="96"/>
      <c r="N22" s="39"/>
      <c r="O22" s="91"/>
      <c r="P22" s="93"/>
      <c r="Q22" s="96"/>
      <c r="R22" s="137"/>
    </row>
    <row r="23" spans="2:18" s="40" customFormat="1" ht="28.5" customHeight="1" x14ac:dyDescent="0.2">
      <c r="B23" s="37">
        <f t="shared" si="0"/>
        <v>11</v>
      </c>
      <c r="C23" s="92"/>
      <c r="D23" s="97"/>
      <c r="E23" s="99"/>
      <c r="F23" s="99"/>
      <c r="G23" s="95"/>
      <c r="H23" s="129"/>
      <c r="I23" s="130"/>
      <c r="J23" s="96"/>
      <c r="K23" s="38"/>
      <c r="L23" s="96"/>
      <c r="M23" s="96"/>
      <c r="N23" s="39"/>
      <c r="O23" s="91"/>
      <c r="P23" s="93"/>
      <c r="Q23" s="96"/>
      <c r="R23" s="137"/>
    </row>
    <row r="24" spans="2:18" s="40" customFormat="1" ht="28.5" customHeight="1" x14ac:dyDescent="0.2">
      <c r="B24" s="37">
        <f t="shared" si="0"/>
        <v>12</v>
      </c>
      <c r="C24" s="92"/>
      <c r="D24" s="97"/>
      <c r="E24" s="99"/>
      <c r="F24" s="99"/>
      <c r="G24" s="95"/>
      <c r="H24" s="129"/>
      <c r="I24" s="130"/>
      <c r="J24" s="96"/>
      <c r="K24" s="38"/>
      <c r="L24" s="96"/>
      <c r="M24" s="96"/>
      <c r="N24" s="39"/>
      <c r="O24" s="91"/>
      <c r="P24" s="93"/>
      <c r="Q24" s="96"/>
      <c r="R24" s="137"/>
    </row>
    <row r="25" spans="2:18" s="40" customFormat="1" ht="28.5" customHeight="1" x14ac:dyDescent="0.2">
      <c r="B25" s="37">
        <f t="shared" si="0"/>
        <v>13</v>
      </c>
      <c r="C25" s="92"/>
      <c r="D25" s="97"/>
      <c r="E25" s="99"/>
      <c r="F25" s="99"/>
      <c r="G25" s="95"/>
      <c r="H25" s="129"/>
      <c r="I25" s="130"/>
      <c r="J25" s="96"/>
      <c r="K25" s="38"/>
      <c r="L25" s="96"/>
      <c r="M25" s="96"/>
      <c r="N25" s="39"/>
      <c r="O25" s="91"/>
      <c r="P25" s="93"/>
      <c r="Q25" s="96"/>
      <c r="R25" s="137"/>
    </row>
    <row r="26" spans="2:18" s="40" customFormat="1" ht="28.5" customHeight="1" x14ac:dyDescent="0.2">
      <c r="B26" s="37">
        <f t="shared" si="0"/>
        <v>14</v>
      </c>
      <c r="C26" s="92"/>
      <c r="D26" s="97"/>
      <c r="E26" s="99"/>
      <c r="F26" s="99"/>
      <c r="G26" s="95"/>
      <c r="H26" s="129"/>
      <c r="I26" s="130"/>
      <c r="J26" s="96"/>
      <c r="K26" s="38"/>
      <c r="L26" s="96"/>
      <c r="M26" s="96"/>
      <c r="N26" s="39"/>
      <c r="O26" s="91"/>
      <c r="P26" s="93"/>
      <c r="Q26" s="96"/>
      <c r="R26" s="137"/>
    </row>
    <row r="27" spans="2:18" s="40" customFormat="1" ht="28.5" customHeight="1" x14ac:dyDescent="0.2">
      <c r="B27" s="37">
        <f t="shared" si="0"/>
        <v>15</v>
      </c>
      <c r="C27" s="92"/>
      <c r="D27" s="97"/>
      <c r="E27" s="99"/>
      <c r="F27" s="99"/>
      <c r="G27" s="95"/>
      <c r="H27" s="129"/>
      <c r="I27" s="130"/>
      <c r="J27" s="96"/>
      <c r="K27" s="38"/>
      <c r="L27" s="96"/>
      <c r="M27" s="96"/>
      <c r="N27" s="39"/>
      <c r="O27" s="91"/>
      <c r="P27" s="93"/>
      <c r="Q27" s="96"/>
      <c r="R27" s="137"/>
    </row>
    <row r="28" spans="2:18" s="40" customFormat="1" ht="28.5" customHeight="1" x14ac:dyDescent="0.2">
      <c r="B28" s="37">
        <f t="shared" si="0"/>
        <v>16</v>
      </c>
      <c r="C28" s="92"/>
      <c r="D28" s="97"/>
      <c r="E28" s="99"/>
      <c r="F28" s="99"/>
      <c r="G28" s="95"/>
      <c r="H28" s="129"/>
      <c r="I28" s="130"/>
      <c r="J28" s="96"/>
      <c r="K28" s="38"/>
      <c r="L28" s="96"/>
      <c r="M28" s="96"/>
      <c r="N28" s="39"/>
      <c r="O28" s="91"/>
      <c r="P28" s="93"/>
      <c r="Q28" s="96"/>
      <c r="R28" s="137"/>
    </row>
    <row r="29" spans="2:18" s="40" customFormat="1" ht="28.5" customHeight="1" x14ac:dyDescent="0.2">
      <c r="B29" s="37">
        <f t="shared" si="0"/>
        <v>17</v>
      </c>
      <c r="C29" s="92"/>
      <c r="D29" s="97"/>
      <c r="E29" s="99"/>
      <c r="F29" s="99"/>
      <c r="G29" s="95"/>
      <c r="H29" s="129"/>
      <c r="I29" s="130"/>
      <c r="J29" s="96"/>
      <c r="K29" s="38"/>
      <c r="L29" s="96"/>
      <c r="M29" s="96"/>
      <c r="N29" s="39"/>
      <c r="O29" s="91"/>
      <c r="P29" s="93"/>
      <c r="Q29" s="96"/>
      <c r="R29" s="137"/>
    </row>
    <row r="30" spans="2:18" s="40" customFormat="1" ht="28.5" customHeight="1" x14ac:dyDescent="0.2">
      <c r="B30" s="37">
        <f t="shared" si="0"/>
        <v>18</v>
      </c>
      <c r="C30" s="92"/>
      <c r="D30" s="97"/>
      <c r="E30" s="99"/>
      <c r="F30" s="99"/>
      <c r="G30" s="95"/>
      <c r="H30" s="129"/>
      <c r="I30" s="130"/>
      <c r="J30" s="96"/>
      <c r="K30" s="38"/>
      <c r="L30" s="96"/>
      <c r="M30" s="96"/>
      <c r="N30" s="39"/>
      <c r="O30" s="91"/>
      <c r="P30" s="93"/>
      <c r="Q30" s="96"/>
      <c r="R30" s="137"/>
    </row>
    <row r="31" spans="2:18" s="31" customFormat="1" x14ac:dyDescent="0.2"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8" ht="21.75" customHeight="1" x14ac:dyDescent="0.2">
      <c r="B32" s="133" t="s">
        <v>93</v>
      </c>
      <c r="C32" s="134"/>
      <c r="D32" s="134"/>
      <c r="E32" s="134"/>
      <c r="F32" s="134"/>
      <c r="G32" s="134"/>
      <c r="H32" s="134"/>
      <c r="I32" s="134"/>
      <c r="J32" s="141" t="s">
        <v>94</v>
      </c>
      <c r="K32" s="141"/>
      <c r="L32" s="141"/>
      <c r="M32" s="141"/>
      <c r="N32" s="141"/>
      <c r="O32" s="141"/>
      <c r="P32" s="141"/>
      <c r="Q32" s="141"/>
      <c r="R32" s="141"/>
    </row>
    <row r="33" spans="2:18" ht="24.75" customHeight="1" x14ac:dyDescent="0.2">
      <c r="B33" s="121" t="s">
        <v>8</v>
      </c>
      <c r="C33" s="121"/>
      <c r="D33" s="87" t="s">
        <v>14</v>
      </c>
      <c r="E33" s="121" t="s">
        <v>11</v>
      </c>
      <c r="F33" s="121"/>
      <c r="G33" s="121" t="s">
        <v>12</v>
      </c>
      <c r="H33" s="121"/>
      <c r="I33" s="121"/>
      <c r="J33" s="146"/>
      <c r="K33" s="147"/>
      <c r="L33" s="147"/>
      <c r="M33" s="147"/>
      <c r="N33" s="147"/>
      <c r="O33" s="147"/>
      <c r="P33" s="147"/>
      <c r="Q33" s="147"/>
      <c r="R33" s="147"/>
    </row>
    <row r="34" spans="2:18" ht="21.75" customHeight="1" x14ac:dyDescent="0.2">
      <c r="B34" s="152"/>
      <c r="C34" s="152"/>
      <c r="D34" s="94"/>
      <c r="E34" s="132"/>
      <c r="F34" s="132"/>
      <c r="G34" s="131"/>
      <c r="H34" s="132"/>
      <c r="I34" s="132"/>
      <c r="J34" s="147"/>
      <c r="K34" s="147"/>
      <c r="L34" s="147"/>
      <c r="M34" s="147"/>
      <c r="N34" s="147"/>
      <c r="O34" s="147"/>
      <c r="P34" s="147"/>
      <c r="Q34" s="147"/>
      <c r="R34" s="147"/>
    </row>
    <row r="35" spans="2:18" ht="24.75" customHeight="1" x14ac:dyDescent="0.2">
      <c r="B35" s="140"/>
      <c r="C35" s="140"/>
      <c r="D35" s="41"/>
      <c r="E35" s="132"/>
      <c r="F35" s="132"/>
      <c r="G35" s="132"/>
      <c r="H35" s="132"/>
      <c r="I35" s="132"/>
      <c r="J35" s="147"/>
      <c r="K35" s="147"/>
      <c r="L35" s="147"/>
      <c r="M35" s="147"/>
      <c r="N35" s="147"/>
      <c r="O35" s="147"/>
      <c r="P35" s="147"/>
      <c r="Q35" s="147"/>
      <c r="R35" s="147"/>
    </row>
    <row r="36" spans="2:18" ht="24.75" customHeight="1" x14ac:dyDescent="0.2">
      <c r="B36" s="148"/>
      <c r="C36" s="149"/>
      <c r="D36" s="41"/>
      <c r="E36" s="150"/>
      <c r="F36" s="151"/>
      <c r="G36" s="132"/>
      <c r="H36" s="132"/>
      <c r="I36" s="132"/>
      <c r="J36" s="147"/>
      <c r="K36" s="147"/>
      <c r="L36" s="147"/>
      <c r="M36" s="147"/>
      <c r="N36" s="147"/>
      <c r="O36" s="147"/>
      <c r="P36" s="147"/>
      <c r="Q36" s="147"/>
      <c r="R36" s="147"/>
    </row>
    <row r="37" spans="2:18" ht="12.75" customHeight="1" x14ac:dyDescent="0.2">
      <c r="I37" s="42"/>
      <c r="J37" s="42"/>
      <c r="K37" s="42"/>
      <c r="L37" s="42"/>
      <c r="M37" s="42"/>
      <c r="N37" s="42"/>
    </row>
    <row r="38" spans="2:18" ht="123.75" customHeight="1" x14ac:dyDescent="0.2">
      <c r="B38" s="117" t="s">
        <v>133</v>
      </c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</row>
    <row r="40" spans="2:18" ht="54" customHeight="1" x14ac:dyDescent="0.2">
      <c r="R40" s="90" t="s">
        <v>432</v>
      </c>
    </row>
  </sheetData>
  <sheetProtection formatRows="0" insertRows="0" selectLockedCells="1"/>
  <dataConsolidate/>
  <mergeCells count="51">
    <mergeCell ref="B36:C36"/>
    <mergeCell ref="E33:F33"/>
    <mergeCell ref="E34:F34"/>
    <mergeCell ref="E35:F35"/>
    <mergeCell ref="E36:F36"/>
    <mergeCell ref="B34:C34"/>
    <mergeCell ref="B33:C33"/>
    <mergeCell ref="H12:I12"/>
    <mergeCell ref="H16:I16"/>
    <mergeCell ref="H17:I17"/>
    <mergeCell ref="B2:D4"/>
    <mergeCell ref="B35:C35"/>
    <mergeCell ref="B6:R6"/>
    <mergeCell ref="P8:R8"/>
    <mergeCell ref="E2:R4"/>
    <mergeCell ref="B11:R11"/>
    <mergeCell ref="G33:I33"/>
    <mergeCell ref="B8:D8"/>
    <mergeCell ref="J32:R32"/>
    <mergeCell ref="H18:I18"/>
    <mergeCell ref="H19:I19"/>
    <mergeCell ref="H20:I20"/>
    <mergeCell ref="J33:R36"/>
    <mergeCell ref="H27:I27"/>
    <mergeCell ref="H28:I28"/>
    <mergeCell ref="H29:I29"/>
    <mergeCell ref="H30:I30"/>
    <mergeCell ref="R13:R30"/>
    <mergeCell ref="H14:I14"/>
    <mergeCell ref="H15:I15"/>
    <mergeCell ref="H22:I22"/>
    <mergeCell ref="H23:I23"/>
    <mergeCell ref="H24:I24"/>
    <mergeCell ref="H25:I25"/>
    <mergeCell ref="H26:I26"/>
    <mergeCell ref="B38:R38"/>
    <mergeCell ref="P7:R7"/>
    <mergeCell ref="M7:O7"/>
    <mergeCell ref="M8:O8"/>
    <mergeCell ref="E7:H7"/>
    <mergeCell ref="I7:L7"/>
    <mergeCell ref="E8:H8"/>
    <mergeCell ref="I8:L8"/>
    <mergeCell ref="H13:I13"/>
    <mergeCell ref="G34:I34"/>
    <mergeCell ref="G35:I35"/>
    <mergeCell ref="G36:I36"/>
    <mergeCell ref="B32:I32"/>
    <mergeCell ref="L9:P9"/>
    <mergeCell ref="B7:D7"/>
    <mergeCell ref="H21:I21"/>
  </mergeCells>
  <phoneticPr fontId="3" type="noConversion"/>
  <dataValidations xWindow="478" yWindow="391" count="18">
    <dataValidation showInputMessage="1" showErrorMessage="1" sqref="O12 D12 Q12 H12" xr:uid="{00000000-0002-0000-0100-000000000000}"/>
    <dataValidation type="textLength" showInputMessage="1" showErrorMessage="1" errorTitle="Máximo 20 Caracteres" error="La longitud del nombre debe ser menor a 20 caracteres" promptTitle="Máximo 20 caracteres" prompt="_x000a_El nombre propuesto debe contener menos de 20 caracteres antes del @sena.edu.co" sqref="D35:D36" xr:uid="{00000000-0002-0000-0100-000001000000}">
      <formula1>0</formula1>
      <formula2>20</formula2>
    </dataValidation>
    <dataValidation type="list" allowBlank="1" showInputMessage="1" showErrorMessage="1" promptTitle="Regional" prompt="_x000a_Seleccione la regional" sqref="M8" xr:uid="{00000000-0002-0000-0100-000004000000}">
      <formula1>Regionales</formula1>
    </dataValidation>
    <dataValidation allowBlank="1" showInputMessage="1" prompt="Las cuentas de correo genéricas no corresponden a un usuario específico y son destinadas para uso central. Ejemplo: sedes, regionales, oficinas, áreas, dependecias, departamentos, divisiones, entre otras." sqref="B32:I32" xr:uid="{00000000-0002-0000-0100-000005000000}"/>
    <dataValidation allowBlank="1" showInputMessage="1" showErrorMessage="1" prompt="Diligencie el nombre del responsable de la cuenta genérica." sqref="E34:F36" xr:uid="{00000000-0002-0000-0100-000006000000}"/>
    <dataValidation allowBlank="1" showInputMessage="1" showErrorMessage="1" prompt="Diligencie el correo electrónico institucional del responsable" sqref="G34:I36" xr:uid="{00000000-0002-0000-0100-000007000000}"/>
    <dataValidation allowBlank="1" showInputMessage="1" promptTitle="Petición de accesos" prompt="Este formato se debe utilizar cuando se require:_x000a_- Crear, modificar, activar o eliminar cuentas de red y correo electrónico SENA. _x000a_- Crear cuentas genéricas." sqref="E2" xr:uid="{00000000-0002-0000-0100-000008000000}"/>
    <dataValidation allowBlank="1" showInputMessage="1" promptTitle="Autorizador" prompt="Es responsabilidad de los Directores Regionales, Subdirectores de Centro de Formación Profesional y Secretaria General, aprobar las novedades de: creación, modificación, eliminación, activación o inactivación de las cuentas de los usuarios." sqref="B6" xr:uid="{00000000-0002-0000-0100-00000A000000}"/>
    <dataValidation allowBlank="1" showInputMessage="1" showErrorMessage="1" prompt="Diligencie la justificacion de la solicitud, indicar por qué se require una cuenta de correo genérica" sqref="J33" xr:uid="{00000000-0002-0000-0100-00000B000000}"/>
    <dataValidation type="list" allowBlank="1" showInputMessage="1" showErrorMessage="1" prompt="Seleccione el tipo de contrato:_x000a__x000a_- Planta: Contratación laboral directa con el SENA_x000a__x000a_- Contratista: Contratación laboral a término definido" sqref="H13:I30" xr:uid="{00000000-0002-0000-0100-00000D000000}">
      <formula1>TipoContrato</formula1>
    </dataValidation>
    <dataValidation type="list" allowBlank="1" showInputMessage="1" showErrorMessage="1" prompt="Seleccione la Regional a la cual pertenece" sqref="L14:L30" xr:uid="{00000000-0002-0000-0100-00000E000000}">
      <formula1>Regionales</formula1>
    </dataValidation>
    <dataValidation type="date" allowBlank="1" showInputMessage="1" showErrorMessage="1" prompt="Solo contratistas_x000a__x000a_Diligencie la fecha de terminación del contrato. " sqref="N14:N30" xr:uid="{00000000-0002-0000-0100-00000F000000}">
      <formula1>42005</formula1>
      <formula2>47484</formula2>
    </dataValidation>
    <dataValidation allowBlank="1" showInputMessage="1" showErrorMessage="1" prompt="Diligencie los apellidos del funcionario" sqref="F14:F30" xr:uid="{00000000-0002-0000-0100-000010000000}"/>
    <dataValidation type="list" allowBlank="1" showInputMessage="1" showErrorMessage="1" sqref="C13:C30" xr:uid="{00000000-0002-0000-0100-000011000000}">
      <formula1>TipoSolicitud</formula1>
    </dataValidation>
    <dataValidation allowBlank="1" showInputMessage="1" showErrorMessage="1" prompt="Especificar las listas de distribución asociadas a la cuenta._x000a__x000a_Si no aplica, dejar en blanco, la cuenta se incluye a la lista SENANACIONAL._x000a__x000a_ESTE CAMPO NO ES OBLIGATORIO" sqref="Q13:Q30" xr:uid="{00000000-0002-0000-0100-000012000000}"/>
    <dataValidation type="list" allowBlank="1" showInputMessage="1" showErrorMessage="1" prompt="Seleccione la funcion desempeñada dentro del SENA" sqref="J13:J30" xr:uid="{00000000-0002-0000-0100-000013000000}">
      <formula1>INDIRECT(H13)</formula1>
    </dataValidation>
    <dataValidation type="list" allowBlank="1" showInputMessage="1" showErrorMessage="1" prompt="Seleccione Sede a la que pertenece" sqref="M14:M30" xr:uid="{00000000-0002-0000-0100-000014000000}">
      <formula1>INDIRECT(SUBSTITUTE(L14," ","_"))</formula1>
    </dataValidation>
    <dataValidation type="list" allowBlank="1" showInputMessage="1" showErrorMessage="1" prompt="Seleccione el cargo que desempeña" sqref="K13:K30" xr:uid="{00000000-0002-0000-0100-000015000000}">
      <formula1>INDIRECT(J13)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3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478" yWindow="391" count="1">
        <x14:dataValidation type="list" allowBlank="1" showInputMessage="1" showErrorMessage="1" promptTitle="Seleccione el tipo de solicitud" prompt="- Crear: se requiere una nueva cuenta de correo genérica_x000a__x000a_- Modificar: La cuenta existe y se va a modificar algun parametro_x000a__x000a_- Activar: La cuenta existe pero se encuentra caducada_x000a__x000a_- Inactivar: Se require inactivar alguna cuenta existente" xr:uid="{00000000-0002-0000-0100-000016000000}">
          <x14:formula1>
            <xm:f>Listas!$A$2:$A$5</xm:f>
          </x14:formula1>
          <xm:sqref>B34:C36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C32"/>
  <sheetViews>
    <sheetView topLeftCell="A29" workbookViewId="0">
      <selection activeCell="C4" sqref="C4"/>
    </sheetView>
  </sheetViews>
  <sheetFormatPr baseColWidth="10" defaultColWidth="11.42578125" defaultRowHeight="12.75" x14ac:dyDescent="0.2"/>
  <cols>
    <col min="1" max="1" width="5" style="69" customWidth="1"/>
    <col min="2" max="2" width="41.85546875" style="69" bestFit="1" customWidth="1"/>
    <col min="3" max="3" width="73.42578125" style="69" customWidth="1"/>
    <col min="4" max="16384" width="11.42578125" style="69"/>
  </cols>
  <sheetData>
    <row r="1" spans="2:3" x14ac:dyDescent="0.2">
      <c r="B1" s="68"/>
      <c r="C1" s="68"/>
    </row>
    <row r="2" spans="2:3" ht="51" x14ac:dyDescent="0.2">
      <c r="B2" s="73" t="s">
        <v>403</v>
      </c>
      <c r="C2" s="74" t="s">
        <v>404</v>
      </c>
    </row>
    <row r="3" spans="2:3" x14ac:dyDescent="0.2">
      <c r="B3" s="82" t="s">
        <v>0</v>
      </c>
      <c r="C3" s="76" t="s">
        <v>405</v>
      </c>
    </row>
    <row r="4" spans="2:3" x14ac:dyDescent="0.2">
      <c r="B4" s="83" t="s">
        <v>1</v>
      </c>
      <c r="C4" s="78" t="s">
        <v>406</v>
      </c>
    </row>
    <row r="5" spans="2:3" x14ac:dyDescent="0.2">
      <c r="B5" s="82" t="s">
        <v>2</v>
      </c>
      <c r="C5" s="76" t="s">
        <v>407</v>
      </c>
    </row>
    <row r="6" spans="2:3" x14ac:dyDescent="0.2">
      <c r="B6" s="83" t="s">
        <v>154</v>
      </c>
      <c r="C6" s="78" t="s">
        <v>408</v>
      </c>
    </row>
    <row r="7" spans="2:3" x14ac:dyDescent="0.2">
      <c r="B7" s="84" t="s">
        <v>155</v>
      </c>
      <c r="C7" s="70" t="s">
        <v>409</v>
      </c>
    </row>
    <row r="10" spans="2:3" x14ac:dyDescent="0.2">
      <c r="B10" s="73" t="s">
        <v>410</v>
      </c>
      <c r="C10" s="79"/>
    </row>
    <row r="11" spans="2:3" ht="114.75" x14ac:dyDescent="0.2">
      <c r="B11" s="82" t="s">
        <v>43</v>
      </c>
      <c r="C11" s="80" t="s">
        <v>411</v>
      </c>
    </row>
    <row r="12" spans="2:3" ht="38.25" x14ac:dyDescent="0.2">
      <c r="B12" s="83" t="s">
        <v>10</v>
      </c>
      <c r="C12" s="81" t="s">
        <v>412</v>
      </c>
    </row>
    <row r="13" spans="2:3" x14ac:dyDescent="0.2">
      <c r="B13" s="82" t="s">
        <v>0</v>
      </c>
      <c r="C13" s="76" t="s">
        <v>413</v>
      </c>
    </row>
    <row r="14" spans="2:3" x14ac:dyDescent="0.2">
      <c r="B14" s="83" t="s">
        <v>1</v>
      </c>
      <c r="C14" s="78" t="s">
        <v>414</v>
      </c>
    </row>
    <row r="15" spans="2:3" x14ac:dyDescent="0.2">
      <c r="B15" s="82" t="s">
        <v>6</v>
      </c>
      <c r="C15" s="76" t="s">
        <v>426</v>
      </c>
    </row>
    <row r="16" spans="2:3" ht="63.75" x14ac:dyDescent="0.2">
      <c r="B16" s="83" t="s">
        <v>44</v>
      </c>
      <c r="C16" s="81" t="s">
        <v>415</v>
      </c>
    </row>
    <row r="17" spans="2:3" x14ac:dyDescent="0.2">
      <c r="B17" s="82" t="s">
        <v>96</v>
      </c>
      <c r="C17" s="76" t="s">
        <v>427</v>
      </c>
    </row>
    <row r="18" spans="2:3" x14ac:dyDescent="0.2">
      <c r="B18" s="83" t="s">
        <v>2</v>
      </c>
      <c r="C18" s="78" t="s">
        <v>416</v>
      </c>
    </row>
    <row r="19" spans="2:3" x14ac:dyDescent="0.2">
      <c r="B19" s="82" t="s">
        <v>154</v>
      </c>
      <c r="C19" s="76" t="s">
        <v>417</v>
      </c>
    </row>
    <row r="20" spans="2:3" x14ac:dyDescent="0.2">
      <c r="B20" s="83" t="s">
        <v>155</v>
      </c>
      <c r="C20" s="78" t="s">
        <v>418</v>
      </c>
    </row>
    <row r="21" spans="2:3" ht="38.25" x14ac:dyDescent="0.2">
      <c r="B21" s="82" t="s">
        <v>48</v>
      </c>
      <c r="C21" s="80" t="s">
        <v>419</v>
      </c>
    </row>
    <row r="22" spans="2:3" ht="38.25" x14ac:dyDescent="0.2">
      <c r="B22" s="83" t="s">
        <v>9</v>
      </c>
      <c r="C22" s="81" t="s">
        <v>420</v>
      </c>
    </row>
    <row r="23" spans="2:3" ht="25.5" x14ac:dyDescent="0.2">
      <c r="B23" s="82" t="s">
        <v>13</v>
      </c>
      <c r="C23" s="80" t="s">
        <v>421</v>
      </c>
    </row>
    <row r="24" spans="2:3" ht="63.75" x14ac:dyDescent="0.2">
      <c r="B24" s="83" t="s">
        <v>95</v>
      </c>
      <c r="C24" s="81" t="s">
        <v>422</v>
      </c>
    </row>
    <row r="25" spans="2:3" x14ac:dyDescent="0.2">
      <c r="B25" s="84" t="s">
        <v>15</v>
      </c>
      <c r="C25" s="70" t="s">
        <v>428</v>
      </c>
    </row>
    <row r="26" spans="2:3" x14ac:dyDescent="0.2">
      <c r="B26" s="85"/>
      <c r="C26" s="86"/>
    </row>
    <row r="28" spans="2:3" ht="38.25" x14ac:dyDescent="0.2">
      <c r="B28" s="73" t="s">
        <v>93</v>
      </c>
      <c r="C28" s="74" t="s">
        <v>429</v>
      </c>
    </row>
    <row r="29" spans="2:3" ht="114.75" x14ac:dyDescent="0.2">
      <c r="B29" s="75" t="s">
        <v>43</v>
      </c>
      <c r="C29" s="80" t="s">
        <v>430</v>
      </c>
    </row>
    <row r="30" spans="2:3" x14ac:dyDescent="0.2">
      <c r="B30" s="77" t="s">
        <v>14</v>
      </c>
      <c r="C30" s="78" t="s">
        <v>423</v>
      </c>
    </row>
    <row r="31" spans="2:3" x14ac:dyDescent="0.2">
      <c r="B31" s="75" t="s">
        <v>11</v>
      </c>
      <c r="C31" s="76" t="s">
        <v>424</v>
      </c>
    </row>
    <row r="32" spans="2:3" x14ac:dyDescent="0.2">
      <c r="B32" s="71" t="s">
        <v>12</v>
      </c>
      <c r="C32" s="72" t="s">
        <v>425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T24"/>
  <sheetViews>
    <sheetView zoomScale="70" zoomScaleNormal="70" workbookViewId="0">
      <selection activeCell="D15" sqref="D15"/>
    </sheetView>
  </sheetViews>
  <sheetFormatPr baseColWidth="10" defaultRowHeight="20.25" x14ac:dyDescent="0.3"/>
  <cols>
    <col min="1" max="1" width="53.42578125" style="1" customWidth="1"/>
    <col min="2" max="2" width="57.85546875" style="1" bestFit="1" customWidth="1"/>
    <col min="3" max="3" width="6.28515625" style="43" customWidth="1"/>
    <col min="4" max="4" width="45.28515625" style="1" customWidth="1"/>
    <col min="5" max="5" width="7.140625" style="1" customWidth="1"/>
    <col min="6" max="6" width="45.28515625" style="1" customWidth="1"/>
    <col min="7" max="7" width="6.28515625" style="43" customWidth="1"/>
    <col min="8" max="8" width="42.5703125" style="1" bestFit="1" customWidth="1"/>
    <col min="9" max="9" width="6.28515625" customWidth="1"/>
    <col min="10" max="10" width="32.42578125" customWidth="1"/>
    <col min="11" max="11" width="6.28515625" customWidth="1"/>
    <col min="12" max="12" width="25.28515625" bestFit="1" customWidth="1"/>
    <col min="13" max="13" width="6.28515625" customWidth="1"/>
    <col min="14" max="14" width="23.85546875" customWidth="1"/>
    <col min="15" max="15" width="5.5703125" customWidth="1"/>
    <col min="16" max="16" width="29.85546875" bestFit="1" customWidth="1"/>
    <col min="17" max="17" width="9" customWidth="1"/>
    <col min="18" max="18" width="33.42578125" bestFit="1" customWidth="1"/>
    <col min="20" max="20" width="31.7109375" bestFit="1" customWidth="1"/>
  </cols>
  <sheetData>
    <row r="1" spans="1:20" x14ac:dyDescent="0.3">
      <c r="A1" s="21" t="s">
        <v>43</v>
      </c>
      <c r="B1" s="21" t="s">
        <v>44</v>
      </c>
      <c r="D1" s="21" t="s">
        <v>97</v>
      </c>
      <c r="E1" s="43"/>
      <c r="F1" s="62" t="s">
        <v>98</v>
      </c>
      <c r="G1" s="59"/>
      <c r="H1" s="45" t="s">
        <v>135</v>
      </c>
      <c r="J1" s="45" t="s">
        <v>145</v>
      </c>
      <c r="L1" s="55" t="s">
        <v>144</v>
      </c>
      <c r="N1" s="58" t="s">
        <v>146</v>
      </c>
      <c r="P1" s="62" t="s">
        <v>147</v>
      </c>
      <c r="R1" s="62" t="s">
        <v>148</v>
      </c>
      <c r="T1" s="62" t="s">
        <v>152</v>
      </c>
    </row>
    <row r="2" spans="1:20" x14ac:dyDescent="0.3">
      <c r="A2" s="20" t="s">
        <v>7</v>
      </c>
      <c r="B2" s="23" t="s">
        <v>16</v>
      </c>
      <c r="D2" s="63" t="s">
        <v>141</v>
      </c>
      <c r="E2" s="44"/>
      <c r="F2" s="1" t="s">
        <v>149</v>
      </c>
      <c r="G2" s="44"/>
      <c r="H2" s="65" t="s">
        <v>151</v>
      </c>
      <c r="J2" s="53" t="s">
        <v>136</v>
      </c>
      <c r="L2" s="53" t="s">
        <v>101</v>
      </c>
      <c r="M2" s="56"/>
      <c r="N2" s="53" t="s">
        <v>41</v>
      </c>
      <c r="P2" s="1" t="s">
        <v>41</v>
      </c>
      <c r="R2" s="1" t="s">
        <v>17</v>
      </c>
      <c r="T2" s="1" t="s">
        <v>134</v>
      </c>
    </row>
    <row r="3" spans="1:20" x14ac:dyDescent="0.3">
      <c r="A3" s="20" t="s">
        <v>3</v>
      </c>
      <c r="B3" s="60" t="s">
        <v>17</v>
      </c>
      <c r="D3" s="63" t="s">
        <v>142</v>
      </c>
      <c r="E3" s="44"/>
      <c r="F3" s="1" t="s">
        <v>150</v>
      </c>
      <c r="G3" s="44"/>
      <c r="J3" s="53" t="s">
        <v>39</v>
      </c>
      <c r="L3" s="44"/>
      <c r="P3" s="1"/>
    </row>
    <row r="4" spans="1:20" x14ac:dyDescent="0.3">
      <c r="A4" s="20" t="s">
        <v>5</v>
      </c>
      <c r="B4" s="54" t="s">
        <v>134</v>
      </c>
      <c r="D4" s="64" t="s">
        <v>143</v>
      </c>
      <c r="E4" s="44"/>
      <c r="F4" s="44"/>
      <c r="G4" s="44"/>
      <c r="H4" s="44"/>
      <c r="J4" s="53" t="s">
        <v>137</v>
      </c>
      <c r="L4" s="44"/>
    </row>
    <row r="5" spans="1:20" x14ac:dyDescent="0.3">
      <c r="A5" s="22" t="s">
        <v>4</v>
      </c>
      <c r="B5" s="19"/>
      <c r="C5" s="61"/>
      <c r="D5" s="44"/>
      <c r="E5" s="44"/>
      <c r="F5" s="44"/>
      <c r="G5" s="44"/>
      <c r="H5" s="44"/>
      <c r="J5" s="53" t="s">
        <v>138</v>
      </c>
      <c r="L5" s="57"/>
    </row>
    <row r="6" spans="1:20" x14ac:dyDescent="0.3">
      <c r="D6" s="44"/>
      <c r="E6" s="44"/>
      <c r="F6" s="44"/>
      <c r="G6" s="44"/>
      <c r="H6" s="44"/>
      <c r="J6" s="53" t="s">
        <v>139</v>
      </c>
    </row>
    <row r="7" spans="1:20" x14ac:dyDescent="0.3">
      <c r="D7" s="44"/>
      <c r="E7" s="44"/>
      <c r="F7" s="44"/>
      <c r="G7" s="44"/>
      <c r="H7" s="44"/>
      <c r="J7" s="53" t="s">
        <v>38</v>
      </c>
    </row>
    <row r="8" spans="1:20" x14ac:dyDescent="0.3">
      <c r="D8" s="52"/>
      <c r="E8" s="52"/>
      <c r="F8" s="52"/>
      <c r="G8" s="44"/>
      <c r="H8" s="44"/>
      <c r="J8" s="53" t="s">
        <v>40</v>
      </c>
    </row>
    <row r="9" spans="1:20" x14ac:dyDescent="0.3">
      <c r="B9" s="43"/>
      <c r="D9" s="44"/>
      <c r="E9" s="44"/>
      <c r="F9" s="44"/>
      <c r="H9" s="43"/>
      <c r="J9" s="53" t="s">
        <v>153</v>
      </c>
    </row>
    <row r="10" spans="1:20" x14ac:dyDescent="0.3">
      <c r="B10" s="43"/>
      <c r="D10" s="44"/>
      <c r="E10" s="44"/>
      <c r="F10" s="44"/>
      <c r="H10" s="43"/>
      <c r="J10" s="53" t="s">
        <v>106</v>
      </c>
    </row>
    <row r="11" spans="1:20" x14ac:dyDescent="0.3">
      <c r="B11" s="43"/>
      <c r="D11" s="44"/>
      <c r="E11" s="44"/>
      <c r="F11" s="44"/>
      <c r="H11" s="43"/>
      <c r="J11" s="53" t="s">
        <v>42</v>
      </c>
    </row>
    <row r="12" spans="1:20" x14ac:dyDescent="0.3">
      <c r="B12" s="43"/>
      <c r="D12" s="44"/>
      <c r="E12" s="44"/>
      <c r="F12" s="44"/>
      <c r="H12" s="43"/>
      <c r="J12" s="53" t="s">
        <v>140</v>
      </c>
    </row>
    <row r="13" spans="1:20" x14ac:dyDescent="0.3">
      <c r="B13" s="43"/>
      <c r="D13" s="44"/>
      <c r="E13" s="44"/>
      <c r="F13" s="44"/>
      <c r="H13" s="43"/>
    </row>
    <row r="14" spans="1:20" x14ac:dyDescent="0.3">
      <c r="B14" s="43"/>
      <c r="D14" s="44"/>
      <c r="E14" s="44"/>
      <c r="F14" s="44"/>
      <c r="H14" s="43"/>
    </row>
    <row r="15" spans="1:20" ht="21.75" customHeight="1" x14ac:dyDescent="0.3">
      <c r="A15" s="43" t="s">
        <v>2</v>
      </c>
      <c r="B15" s="43" t="s">
        <v>107</v>
      </c>
      <c r="D15" s="43"/>
      <c r="E15" s="43"/>
      <c r="F15" s="43"/>
      <c r="H15" s="43"/>
    </row>
    <row r="16" spans="1:20" x14ac:dyDescent="0.3">
      <c r="A16" s="44" t="s">
        <v>105</v>
      </c>
      <c r="B16" s="43" t="s">
        <v>108</v>
      </c>
      <c r="D16" s="43"/>
      <c r="E16" s="43"/>
      <c r="F16" s="43"/>
      <c r="H16" s="43"/>
    </row>
    <row r="17" spans="1:8" x14ac:dyDescent="0.3">
      <c r="A17" s="44" t="s">
        <v>100</v>
      </c>
      <c r="B17" s="43" t="s">
        <v>108</v>
      </c>
      <c r="D17" s="43"/>
      <c r="E17" s="43"/>
      <c r="F17" s="43"/>
      <c r="H17" s="43"/>
    </row>
    <row r="18" spans="1:8" x14ac:dyDescent="0.3">
      <c r="A18" s="44" t="s">
        <v>99</v>
      </c>
      <c r="B18" s="43" t="s">
        <v>109</v>
      </c>
      <c r="D18" s="43"/>
      <c r="E18" s="43"/>
      <c r="F18" s="43"/>
      <c r="H18" s="43"/>
    </row>
    <row r="19" spans="1:8" x14ac:dyDescent="0.3">
      <c r="A19" s="44" t="s">
        <v>105</v>
      </c>
      <c r="B19" s="43" t="s">
        <v>108</v>
      </c>
      <c r="D19" s="43"/>
      <c r="E19" s="43"/>
      <c r="F19" s="43"/>
      <c r="H19" s="43"/>
    </row>
    <row r="20" spans="1:8" x14ac:dyDescent="0.3">
      <c r="A20" s="44" t="s">
        <v>101</v>
      </c>
      <c r="B20" s="43" t="s">
        <v>108</v>
      </c>
      <c r="D20" s="43"/>
      <c r="E20" s="43"/>
      <c r="F20" s="43"/>
      <c r="H20" s="43"/>
    </row>
    <row r="21" spans="1:8" x14ac:dyDescent="0.3">
      <c r="A21" s="47" t="s">
        <v>102</v>
      </c>
      <c r="B21" s="1" t="s">
        <v>110</v>
      </c>
      <c r="H21" s="43"/>
    </row>
    <row r="22" spans="1:8" x14ac:dyDescent="0.3">
      <c r="A22" s="47" t="s">
        <v>103</v>
      </c>
      <c r="B22" s="1" t="s">
        <v>111</v>
      </c>
    </row>
    <row r="23" spans="1:8" x14ac:dyDescent="0.3">
      <c r="A23" s="48" t="s">
        <v>104</v>
      </c>
      <c r="B23" s="1" t="s">
        <v>112</v>
      </c>
    </row>
    <row r="24" spans="1:8" x14ac:dyDescent="0.3">
      <c r="B24" s="46"/>
      <c r="C24" s="44"/>
    </row>
  </sheetData>
  <pageMargins left="0.7" right="0.7" top="0.75" bottom="0.75" header="0.3" footer="0.3"/>
  <pageSetup orientation="portrait" horizontalDpi="0" verticalDpi="0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AI35"/>
  <sheetViews>
    <sheetView workbookViewId="0">
      <selection activeCell="S11" sqref="S11"/>
    </sheetView>
  </sheetViews>
  <sheetFormatPr baseColWidth="10" defaultColWidth="11.42578125" defaultRowHeight="15" x14ac:dyDescent="0.25"/>
  <cols>
    <col min="1" max="1" width="26.85546875" style="25" bestFit="1" customWidth="1"/>
    <col min="2" max="2" width="51.5703125" style="25" bestFit="1" customWidth="1"/>
    <col min="3" max="3" width="50.7109375" style="25" bestFit="1" customWidth="1"/>
    <col min="4" max="4" width="67.7109375" style="25" bestFit="1" customWidth="1"/>
    <col min="5" max="5" width="51.140625" style="25" bestFit="1" customWidth="1"/>
    <col min="6" max="6" width="58.42578125" style="25" bestFit="1" customWidth="1"/>
    <col min="7" max="7" width="34.42578125" style="25" bestFit="1" customWidth="1"/>
    <col min="8" max="9" width="58.5703125" style="25" bestFit="1" customWidth="1"/>
    <col min="10" max="10" width="32.42578125" style="25" bestFit="1" customWidth="1"/>
    <col min="11" max="11" width="59.28515625" style="25" bestFit="1" customWidth="1"/>
    <col min="12" max="12" width="42.85546875" style="25" bestFit="1" customWidth="1"/>
    <col min="13" max="13" width="42.7109375" style="25" bestFit="1" customWidth="1"/>
    <col min="14" max="14" width="50.28515625" style="25" bestFit="1" customWidth="1"/>
    <col min="15" max="15" width="47.42578125" style="25" bestFit="1" customWidth="1"/>
    <col min="16" max="16" width="57.85546875" style="25" bestFit="1" customWidth="1"/>
    <col min="17" max="17" width="78" style="25" bestFit="1" customWidth="1"/>
    <col min="18" max="18" width="53.7109375" style="25" bestFit="1" customWidth="1"/>
    <col min="19" max="19" width="39.7109375" style="25" bestFit="1" customWidth="1"/>
    <col min="20" max="20" width="53.85546875" style="25" bestFit="1" customWidth="1"/>
    <col min="21" max="21" width="53.42578125" style="25" bestFit="1" customWidth="1"/>
    <col min="22" max="22" width="54.28515625" style="25" bestFit="1" customWidth="1"/>
    <col min="23" max="23" width="36.7109375" style="25" bestFit="1" customWidth="1"/>
    <col min="24" max="24" width="57.140625" style="25" customWidth="1"/>
    <col min="25" max="25" width="49.7109375" style="25" bestFit="1" customWidth="1"/>
    <col min="26" max="26" width="37.28515625" style="25" bestFit="1" customWidth="1"/>
    <col min="27" max="27" width="51.5703125" style="25" bestFit="1" customWidth="1"/>
    <col min="28" max="28" width="48.7109375" style="25" bestFit="1" customWidth="1"/>
    <col min="29" max="29" width="53.28515625" style="25" bestFit="1" customWidth="1"/>
    <col min="30" max="30" width="44.7109375" style="25" bestFit="1" customWidth="1"/>
    <col min="31" max="31" width="47.5703125" style="25" bestFit="1" customWidth="1"/>
    <col min="32" max="32" width="29.5703125" style="25" bestFit="1" customWidth="1"/>
    <col min="33" max="33" width="58.85546875" style="25" bestFit="1" customWidth="1"/>
    <col min="34" max="34" width="53.42578125" style="25" bestFit="1" customWidth="1"/>
    <col min="35" max="35" width="65.7109375" style="25" bestFit="1" customWidth="1"/>
    <col min="36" max="16384" width="11.42578125" style="25"/>
  </cols>
  <sheetData>
    <row r="1" spans="1:35" x14ac:dyDescent="0.25">
      <c r="A1" s="24" t="s">
        <v>49</v>
      </c>
      <c r="B1" s="24" t="s">
        <v>85</v>
      </c>
      <c r="C1" s="24" t="s">
        <v>50</v>
      </c>
      <c r="D1" s="24" t="s">
        <v>51</v>
      </c>
      <c r="E1" s="24" t="s">
        <v>52</v>
      </c>
      <c r="F1" s="24" t="s">
        <v>86</v>
      </c>
      <c r="G1" s="24" t="s">
        <v>53</v>
      </c>
      <c r="H1" s="24" t="s">
        <v>87</v>
      </c>
      <c r="I1" s="24" t="s">
        <v>54</v>
      </c>
      <c r="J1" s="24" t="s">
        <v>55</v>
      </c>
      <c r="K1" s="24" t="s">
        <v>56</v>
      </c>
      <c r="L1" s="24" t="s">
        <v>57</v>
      </c>
      <c r="M1" s="24" t="s">
        <v>58</v>
      </c>
      <c r="N1" s="24" t="s">
        <v>88</v>
      </c>
      <c r="O1" s="24" t="s">
        <v>59</v>
      </c>
      <c r="P1" s="24" t="s">
        <v>60</v>
      </c>
      <c r="Q1" s="24" t="s">
        <v>61</v>
      </c>
      <c r="R1" s="24" t="s">
        <v>89</v>
      </c>
      <c r="S1" s="24" t="s">
        <v>62</v>
      </c>
      <c r="T1" s="24" t="s">
        <v>63</v>
      </c>
      <c r="U1" s="24" t="s">
        <v>64</v>
      </c>
      <c r="V1" s="24" t="s">
        <v>65</v>
      </c>
      <c r="W1" s="24" t="s">
        <v>66</v>
      </c>
      <c r="X1" s="24" t="s">
        <v>67</v>
      </c>
      <c r="Y1" s="24" t="s">
        <v>68</v>
      </c>
      <c r="Z1" s="24" t="s">
        <v>69</v>
      </c>
      <c r="AA1" s="24" t="s">
        <v>70</v>
      </c>
      <c r="AB1" s="24" t="s">
        <v>71</v>
      </c>
      <c r="AC1" s="24" t="s">
        <v>72</v>
      </c>
      <c r="AD1" s="24" t="s">
        <v>73</v>
      </c>
      <c r="AE1" s="24" t="s">
        <v>74</v>
      </c>
      <c r="AF1" s="24" t="s">
        <v>75</v>
      </c>
      <c r="AG1" s="24" t="s">
        <v>76</v>
      </c>
      <c r="AH1" s="24" t="s">
        <v>92</v>
      </c>
      <c r="AI1" s="24" t="s">
        <v>77</v>
      </c>
    </row>
    <row r="2" spans="1:35" x14ac:dyDescent="0.25">
      <c r="A2" s="25" t="s">
        <v>84</v>
      </c>
      <c r="B2" s="49" t="s">
        <v>118</v>
      </c>
      <c r="C2" s="49" t="s">
        <v>113</v>
      </c>
      <c r="D2" s="49" t="s">
        <v>51</v>
      </c>
      <c r="E2" s="49" t="s">
        <v>113</v>
      </c>
      <c r="F2" s="49" t="s">
        <v>113</v>
      </c>
      <c r="G2" s="49" t="s">
        <v>113</v>
      </c>
      <c r="H2" s="49" t="s">
        <v>113</v>
      </c>
      <c r="I2" s="49" t="s">
        <v>113</v>
      </c>
      <c r="J2" s="49" t="s">
        <v>113</v>
      </c>
      <c r="K2" s="49" t="s">
        <v>113</v>
      </c>
      <c r="L2" s="49" t="s">
        <v>113</v>
      </c>
      <c r="M2" s="49" t="s">
        <v>113</v>
      </c>
      <c r="N2" s="49" t="s">
        <v>113</v>
      </c>
      <c r="O2" s="49" t="s">
        <v>113</v>
      </c>
      <c r="P2" s="49" t="s">
        <v>113</v>
      </c>
      <c r="Q2" s="49" t="s">
        <v>113</v>
      </c>
      <c r="R2" s="49" t="s">
        <v>113</v>
      </c>
      <c r="S2" s="49" t="s">
        <v>113</v>
      </c>
      <c r="T2" s="49" t="s">
        <v>113</v>
      </c>
      <c r="U2" s="49" t="s">
        <v>113</v>
      </c>
      <c r="V2" s="49" t="s">
        <v>113</v>
      </c>
      <c r="W2" s="49" t="s">
        <v>113</v>
      </c>
      <c r="X2" s="49" t="s">
        <v>113</v>
      </c>
      <c r="Y2" s="49" t="s">
        <v>113</v>
      </c>
      <c r="Z2" s="49" t="s">
        <v>113</v>
      </c>
      <c r="AA2" s="49" t="s">
        <v>113</v>
      </c>
      <c r="AB2" s="49" t="s">
        <v>113</v>
      </c>
      <c r="AC2" s="49" t="s">
        <v>113</v>
      </c>
      <c r="AD2" s="49" t="s">
        <v>113</v>
      </c>
      <c r="AE2" s="49" t="s">
        <v>113</v>
      </c>
      <c r="AF2" s="49" t="s">
        <v>113</v>
      </c>
      <c r="AG2" s="49" t="s">
        <v>113</v>
      </c>
      <c r="AH2" s="49" t="s">
        <v>113</v>
      </c>
      <c r="AI2" s="49" t="s">
        <v>113</v>
      </c>
    </row>
    <row r="3" spans="1:35" ht="25.5" x14ac:dyDescent="0.25">
      <c r="A3" s="25" t="s">
        <v>50</v>
      </c>
      <c r="B3" s="49" t="s">
        <v>127</v>
      </c>
      <c r="C3" s="49" t="s">
        <v>156</v>
      </c>
      <c r="D3" s="49" t="s">
        <v>158</v>
      </c>
      <c r="E3" s="49" t="s">
        <v>190</v>
      </c>
      <c r="F3" s="49" t="s">
        <v>194</v>
      </c>
      <c r="G3" s="49" t="s">
        <v>199</v>
      </c>
      <c r="H3" s="49" t="s">
        <v>206</v>
      </c>
      <c r="I3" s="49" t="s">
        <v>218</v>
      </c>
      <c r="J3" s="49" t="s">
        <v>228</v>
      </c>
      <c r="K3" s="49" t="s">
        <v>78</v>
      </c>
      <c r="L3" s="49" t="s">
        <v>231</v>
      </c>
      <c r="M3" s="49" t="s">
        <v>236</v>
      </c>
      <c r="N3" s="49" t="s">
        <v>242</v>
      </c>
      <c r="O3" s="49" t="s">
        <v>245</v>
      </c>
      <c r="P3" s="49" t="s">
        <v>250</v>
      </c>
      <c r="Q3" s="49" t="s">
        <v>266</v>
      </c>
      <c r="R3" s="66" t="s">
        <v>295</v>
      </c>
      <c r="S3" s="66" t="s">
        <v>296</v>
      </c>
      <c r="T3" s="66" t="s">
        <v>304</v>
      </c>
      <c r="U3" s="49" t="s">
        <v>296</v>
      </c>
      <c r="V3" s="49" t="s">
        <v>315</v>
      </c>
      <c r="W3" s="49" t="s">
        <v>321</v>
      </c>
      <c r="X3" s="49" t="s">
        <v>327</v>
      </c>
      <c r="Y3" s="49" t="s">
        <v>335</v>
      </c>
      <c r="Z3" s="49" t="s">
        <v>342</v>
      </c>
      <c r="AA3" s="49" t="s">
        <v>346</v>
      </c>
      <c r="AB3" s="49" t="s">
        <v>348</v>
      </c>
      <c r="AC3" s="49" t="s">
        <v>355</v>
      </c>
      <c r="AD3" s="49" t="s">
        <v>116</v>
      </c>
      <c r="AE3" s="49" t="s">
        <v>373</v>
      </c>
      <c r="AF3" s="49" t="s">
        <v>377</v>
      </c>
      <c r="AG3" s="49" t="s">
        <v>382</v>
      </c>
      <c r="AH3" s="49" t="s">
        <v>394</v>
      </c>
      <c r="AI3" s="66" t="s">
        <v>396</v>
      </c>
    </row>
    <row r="4" spans="1:35" ht="25.5" x14ac:dyDescent="0.25">
      <c r="A4" s="25" t="s">
        <v>51</v>
      </c>
      <c r="B4" s="49" t="s">
        <v>126</v>
      </c>
      <c r="C4" s="49" t="s">
        <v>157</v>
      </c>
      <c r="D4" s="49" t="s">
        <v>159</v>
      </c>
      <c r="E4" s="49" t="s">
        <v>191</v>
      </c>
      <c r="F4" s="49" t="s">
        <v>117</v>
      </c>
      <c r="G4" s="49" t="s">
        <v>200</v>
      </c>
      <c r="H4" s="49" t="s">
        <v>207</v>
      </c>
      <c r="I4" s="49" t="s">
        <v>219</v>
      </c>
      <c r="J4" s="49" t="s">
        <v>229</v>
      </c>
      <c r="K4" s="49"/>
      <c r="L4" s="49" t="s">
        <v>232</v>
      </c>
      <c r="M4" s="49" t="s">
        <v>237</v>
      </c>
      <c r="N4" s="49" t="s">
        <v>243</v>
      </c>
      <c r="O4" s="49" t="s">
        <v>246</v>
      </c>
      <c r="P4" s="49" t="s">
        <v>251</v>
      </c>
      <c r="Q4" s="50" t="s">
        <v>267</v>
      </c>
      <c r="R4" s="49"/>
      <c r="S4" s="66" t="s">
        <v>297</v>
      </c>
      <c r="T4" s="49"/>
      <c r="U4" s="49" t="s">
        <v>305</v>
      </c>
      <c r="V4" s="49" t="s">
        <v>316</v>
      </c>
      <c r="W4" s="49" t="s">
        <v>322</v>
      </c>
      <c r="X4" s="49" t="s">
        <v>328</v>
      </c>
      <c r="Y4" s="49" t="s">
        <v>336</v>
      </c>
      <c r="Z4" s="49" t="s">
        <v>343</v>
      </c>
      <c r="AA4" s="49" t="s">
        <v>347</v>
      </c>
      <c r="AB4" s="49" t="s">
        <v>349</v>
      </c>
      <c r="AC4" s="49" t="s">
        <v>356</v>
      </c>
      <c r="AD4" s="49" t="s">
        <v>358</v>
      </c>
      <c r="AE4" s="49" t="s">
        <v>374</v>
      </c>
      <c r="AF4" s="49" t="s">
        <v>75</v>
      </c>
      <c r="AG4" s="49" t="s">
        <v>383</v>
      </c>
      <c r="AH4" s="49" t="s">
        <v>395</v>
      </c>
      <c r="AI4" s="49"/>
    </row>
    <row r="5" spans="1:35" x14ac:dyDescent="0.25">
      <c r="A5" s="25" t="s">
        <v>52</v>
      </c>
      <c r="B5" s="49" t="s">
        <v>128</v>
      </c>
      <c r="C5" s="49"/>
      <c r="D5" s="49" t="s">
        <v>160</v>
      </c>
      <c r="E5" s="49" t="s">
        <v>192</v>
      </c>
      <c r="F5" s="49" t="s">
        <v>195</v>
      </c>
      <c r="G5" s="49" t="s">
        <v>201</v>
      </c>
      <c r="H5" s="49" t="s">
        <v>208</v>
      </c>
      <c r="I5" s="49" t="s">
        <v>220</v>
      </c>
      <c r="J5" s="49" t="s">
        <v>230</v>
      </c>
      <c r="K5" s="49"/>
      <c r="L5" s="49" t="s">
        <v>198</v>
      </c>
      <c r="M5" s="49" t="s">
        <v>238</v>
      </c>
      <c r="N5" s="49" t="s">
        <v>244</v>
      </c>
      <c r="O5" s="49" t="s">
        <v>247</v>
      </c>
      <c r="P5" s="49" t="s">
        <v>252</v>
      </c>
      <c r="Q5" s="50" t="s">
        <v>268</v>
      </c>
      <c r="R5" s="49"/>
      <c r="S5" s="66" t="s">
        <v>298</v>
      </c>
      <c r="T5" s="49"/>
      <c r="U5" s="49" t="s">
        <v>306</v>
      </c>
      <c r="V5" s="49" t="s">
        <v>317</v>
      </c>
      <c r="W5" s="49" t="s">
        <v>323</v>
      </c>
      <c r="X5" s="49" t="s">
        <v>329</v>
      </c>
      <c r="Y5" s="49" t="s">
        <v>337</v>
      </c>
      <c r="Z5" s="49" t="s">
        <v>344</v>
      </c>
      <c r="AA5" s="49" t="s">
        <v>80</v>
      </c>
      <c r="AB5" s="49" t="s">
        <v>350</v>
      </c>
      <c r="AC5" s="49" t="s">
        <v>357</v>
      </c>
      <c r="AD5" s="49" t="s">
        <v>359</v>
      </c>
      <c r="AE5" s="49" t="s">
        <v>375</v>
      </c>
      <c r="AF5" s="49" t="s">
        <v>378</v>
      </c>
      <c r="AG5" s="49" t="s">
        <v>384</v>
      </c>
      <c r="AH5" s="49"/>
    </row>
    <row r="6" spans="1:35" x14ac:dyDescent="0.25">
      <c r="A6" s="25" t="s">
        <v>86</v>
      </c>
      <c r="B6" s="49" t="s">
        <v>123</v>
      </c>
      <c r="D6" s="49" t="s">
        <v>161</v>
      </c>
      <c r="E6" s="49" t="s">
        <v>115</v>
      </c>
      <c r="F6" s="49" t="s">
        <v>196</v>
      </c>
      <c r="G6" s="49" t="s">
        <v>202</v>
      </c>
      <c r="H6" s="49" t="s">
        <v>209</v>
      </c>
      <c r="I6" s="49" t="s">
        <v>221</v>
      </c>
      <c r="J6" s="49"/>
      <c r="K6" s="51"/>
      <c r="L6" s="49" t="s">
        <v>233</v>
      </c>
      <c r="M6" s="49" t="s">
        <v>79</v>
      </c>
      <c r="N6" s="49"/>
      <c r="O6" s="49" t="s">
        <v>248</v>
      </c>
      <c r="P6" s="49" t="s">
        <v>253</v>
      </c>
      <c r="Q6" s="49" t="s">
        <v>269</v>
      </c>
      <c r="S6" s="66" t="s">
        <v>299</v>
      </c>
      <c r="U6" s="49" t="s">
        <v>307</v>
      </c>
      <c r="V6" s="49" t="s">
        <v>318</v>
      </c>
      <c r="W6" s="49" t="s">
        <v>324</v>
      </c>
      <c r="X6" s="49" t="s">
        <v>330</v>
      </c>
      <c r="Y6" s="49" t="s">
        <v>338</v>
      </c>
      <c r="Z6" s="49" t="s">
        <v>345</v>
      </c>
      <c r="AA6" s="49"/>
      <c r="AB6" s="49" t="s">
        <v>351</v>
      </c>
      <c r="AC6" s="49"/>
      <c r="AD6" s="49" t="s">
        <v>360</v>
      </c>
      <c r="AE6" s="49" t="s">
        <v>376</v>
      </c>
      <c r="AF6" s="49" t="s">
        <v>379</v>
      </c>
      <c r="AG6" s="49" t="s">
        <v>385</v>
      </c>
    </row>
    <row r="7" spans="1:35" x14ac:dyDescent="0.25">
      <c r="A7" s="25" t="s">
        <v>53</v>
      </c>
      <c r="B7" s="49" t="s">
        <v>129</v>
      </c>
      <c r="D7" s="50" t="s">
        <v>162</v>
      </c>
      <c r="E7" s="50" t="s">
        <v>193</v>
      </c>
      <c r="F7" s="50" t="s">
        <v>197</v>
      </c>
      <c r="G7" s="50" t="s">
        <v>203</v>
      </c>
      <c r="H7" s="50" t="s">
        <v>210</v>
      </c>
      <c r="I7" s="49" t="s">
        <v>222</v>
      </c>
      <c r="L7" s="49" t="s">
        <v>234</v>
      </c>
      <c r="M7" s="49" t="s">
        <v>239</v>
      </c>
      <c r="N7" s="49"/>
      <c r="O7" s="49" t="s">
        <v>249</v>
      </c>
      <c r="P7" s="49" t="s">
        <v>254</v>
      </c>
      <c r="Q7" s="49" t="s">
        <v>270</v>
      </c>
      <c r="S7" s="67" t="s">
        <v>300</v>
      </c>
      <c r="U7" s="49" t="s">
        <v>308</v>
      </c>
      <c r="V7" s="49" t="s">
        <v>319</v>
      </c>
      <c r="W7" s="49" t="s">
        <v>325</v>
      </c>
      <c r="X7" s="49" t="s">
        <v>331</v>
      </c>
      <c r="Y7" s="49" t="s">
        <v>339</v>
      </c>
      <c r="Z7" s="49"/>
      <c r="AA7" s="49"/>
      <c r="AB7" s="49" t="s">
        <v>352</v>
      </c>
      <c r="AC7" s="49"/>
      <c r="AD7" s="49" t="s">
        <v>361</v>
      </c>
      <c r="AE7" s="49" t="s">
        <v>375</v>
      </c>
      <c r="AF7" s="49" t="s">
        <v>380</v>
      </c>
      <c r="AG7" s="49" t="s">
        <v>386</v>
      </c>
    </row>
    <row r="8" spans="1:35" x14ac:dyDescent="0.25">
      <c r="A8" s="25" t="s">
        <v>87</v>
      </c>
      <c r="B8" s="49" t="s">
        <v>119</v>
      </c>
      <c r="D8" s="49" t="s">
        <v>163</v>
      </c>
      <c r="E8" s="49"/>
      <c r="F8" s="49" t="s">
        <v>198</v>
      </c>
      <c r="G8" s="49" t="s">
        <v>204</v>
      </c>
      <c r="H8" s="50" t="s">
        <v>211</v>
      </c>
      <c r="I8" s="49" t="s">
        <v>223</v>
      </c>
      <c r="L8" s="49" t="s">
        <v>235</v>
      </c>
      <c r="M8" s="25" t="s">
        <v>240</v>
      </c>
      <c r="N8" s="49"/>
      <c r="P8" s="49" t="s">
        <v>255</v>
      </c>
      <c r="Q8" s="49" t="s">
        <v>271</v>
      </c>
      <c r="S8" s="67" t="s">
        <v>301</v>
      </c>
      <c r="U8" s="49" t="s">
        <v>309</v>
      </c>
      <c r="V8" s="25" t="s">
        <v>320</v>
      </c>
      <c r="W8" s="49" t="s">
        <v>326</v>
      </c>
      <c r="X8" s="49" t="s">
        <v>332</v>
      </c>
      <c r="Y8" s="49" t="s">
        <v>130</v>
      </c>
      <c r="Z8" s="49"/>
      <c r="AA8" s="49"/>
      <c r="AB8" s="49" t="s">
        <v>353</v>
      </c>
      <c r="AC8" s="49"/>
      <c r="AD8" s="49" t="s">
        <v>362</v>
      </c>
      <c r="AE8" s="49"/>
      <c r="AF8" s="49" t="s">
        <v>198</v>
      </c>
      <c r="AG8" s="49" t="s">
        <v>387</v>
      </c>
    </row>
    <row r="9" spans="1:35" ht="25.5" x14ac:dyDescent="0.25">
      <c r="A9" s="25" t="s">
        <v>54</v>
      </c>
      <c r="B9" s="50" t="s">
        <v>121</v>
      </c>
      <c r="D9" s="49" t="s">
        <v>164</v>
      </c>
      <c r="F9" s="50" t="s">
        <v>401</v>
      </c>
      <c r="G9" s="50" t="s">
        <v>205</v>
      </c>
      <c r="H9" s="50" t="s">
        <v>212</v>
      </c>
      <c r="I9" s="50" t="s">
        <v>400</v>
      </c>
      <c r="M9" s="25" t="s">
        <v>241</v>
      </c>
      <c r="P9" s="50" t="s">
        <v>256</v>
      </c>
      <c r="Q9" s="50" t="s">
        <v>272</v>
      </c>
      <c r="S9" s="66" t="s">
        <v>302</v>
      </c>
      <c r="U9" s="50" t="s">
        <v>310</v>
      </c>
      <c r="W9" s="49"/>
      <c r="X9" s="50" t="s">
        <v>333</v>
      </c>
      <c r="Y9" s="50" t="s">
        <v>340</v>
      </c>
      <c r="AB9" s="51" t="s">
        <v>354</v>
      </c>
      <c r="AC9" s="49"/>
      <c r="AD9" s="50" t="s">
        <v>363</v>
      </c>
      <c r="AF9" s="50" t="s">
        <v>381</v>
      </c>
      <c r="AG9" s="50" t="s">
        <v>402</v>
      </c>
    </row>
    <row r="10" spans="1:35" x14ac:dyDescent="0.25">
      <c r="A10" s="25" t="s">
        <v>55</v>
      </c>
      <c r="B10" s="49" t="s">
        <v>120</v>
      </c>
      <c r="D10" s="49" t="s">
        <v>165</v>
      </c>
      <c r="F10" s="49"/>
      <c r="G10" s="51" t="s">
        <v>198</v>
      </c>
      <c r="H10" s="49" t="s">
        <v>213</v>
      </c>
      <c r="I10" s="49" t="s">
        <v>224</v>
      </c>
      <c r="P10" s="49" t="s">
        <v>257</v>
      </c>
      <c r="Q10" s="49" t="s">
        <v>273</v>
      </c>
      <c r="S10" s="66" t="s">
        <v>299</v>
      </c>
      <c r="U10" s="49" t="s">
        <v>311</v>
      </c>
      <c r="W10" s="49"/>
      <c r="X10" s="49" t="s">
        <v>334</v>
      </c>
      <c r="Y10" s="49" t="s">
        <v>341</v>
      </c>
      <c r="AB10" s="51" t="s">
        <v>116</v>
      </c>
      <c r="AC10" s="49"/>
      <c r="AD10" s="49" t="s">
        <v>364</v>
      </c>
      <c r="AG10" s="49" t="s">
        <v>388</v>
      </c>
    </row>
    <row r="11" spans="1:35" ht="25.5" x14ac:dyDescent="0.25">
      <c r="A11" s="25" t="s">
        <v>56</v>
      </c>
      <c r="B11" s="50" t="s">
        <v>125</v>
      </c>
      <c r="D11" s="50" t="s">
        <v>166</v>
      </c>
      <c r="H11" s="50" t="s">
        <v>214</v>
      </c>
      <c r="I11" s="49" t="s">
        <v>225</v>
      </c>
      <c r="P11" s="49" t="s">
        <v>258</v>
      </c>
      <c r="Q11" s="49" t="s">
        <v>274</v>
      </c>
      <c r="S11" s="66" t="s">
        <v>303</v>
      </c>
      <c r="U11" s="49" t="s">
        <v>312</v>
      </c>
      <c r="W11" s="49"/>
      <c r="X11" s="49"/>
      <c r="Y11" s="49" t="s">
        <v>314</v>
      </c>
      <c r="AB11" s="51" t="s">
        <v>198</v>
      </c>
      <c r="AC11" s="49"/>
      <c r="AD11" s="49" t="s">
        <v>365</v>
      </c>
      <c r="AG11" s="49" t="s">
        <v>389</v>
      </c>
    </row>
    <row r="12" spans="1:35" x14ac:dyDescent="0.25">
      <c r="A12" s="25" t="s">
        <v>57</v>
      </c>
      <c r="B12" s="49" t="s">
        <v>124</v>
      </c>
      <c r="D12" s="49" t="s">
        <v>167</v>
      </c>
      <c r="H12" s="50" t="s">
        <v>215</v>
      </c>
      <c r="I12" s="49" t="s">
        <v>226</v>
      </c>
      <c r="P12" s="49" t="s">
        <v>259</v>
      </c>
      <c r="Q12" s="49" t="s">
        <v>275</v>
      </c>
      <c r="U12" s="49" t="s">
        <v>313</v>
      </c>
      <c r="W12" s="49"/>
      <c r="X12" s="49"/>
      <c r="Y12" s="49"/>
      <c r="AD12" s="49" t="s">
        <v>366</v>
      </c>
      <c r="AG12" s="49" t="s">
        <v>390</v>
      </c>
    </row>
    <row r="13" spans="1:35" x14ac:dyDescent="0.25">
      <c r="A13" s="25" t="s">
        <v>58</v>
      </c>
      <c r="B13" s="49" t="s">
        <v>122</v>
      </c>
      <c r="D13" s="49" t="s">
        <v>168</v>
      </c>
      <c r="H13" s="50" t="s">
        <v>216</v>
      </c>
      <c r="I13" s="49" t="s">
        <v>198</v>
      </c>
      <c r="P13" s="49" t="s">
        <v>260</v>
      </c>
      <c r="Q13" s="49" t="s">
        <v>276</v>
      </c>
      <c r="U13" s="49" t="s">
        <v>314</v>
      </c>
      <c r="X13" s="49"/>
      <c r="Y13" s="49"/>
      <c r="AD13" s="49" t="s">
        <v>367</v>
      </c>
      <c r="AG13" s="49" t="s">
        <v>391</v>
      </c>
    </row>
    <row r="14" spans="1:35" x14ac:dyDescent="0.25">
      <c r="A14" s="25" t="s">
        <v>88</v>
      </c>
      <c r="B14" s="49"/>
      <c r="D14" s="49" t="s">
        <v>169</v>
      </c>
      <c r="H14" s="50" t="s">
        <v>217</v>
      </c>
      <c r="I14" s="51" t="s">
        <v>227</v>
      </c>
      <c r="P14" s="49" t="s">
        <v>261</v>
      </c>
      <c r="Q14" s="50" t="s">
        <v>277</v>
      </c>
      <c r="U14" s="49"/>
      <c r="AD14" s="49" t="s">
        <v>368</v>
      </c>
      <c r="AG14" s="49" t="s">
        <v>91</v>
      </c>
    </row>
    <row r="15" spans="1:35" x14ac:dyDescent="0.25">
      <c r="A15" s="25" t="s">
        <v>59</v>
      </c>
      <c r="B15" s="49"/>
      <c r="D15" s="49" t="s">
        <v>170</v>
      </c>
      <c r="H15" s="49"/>
      <c r="P15" s="49" t="s">
        <v>262</v>
      </c>
      <c r="Q15" s="49" t="s">
        <v>278</v>
      </c>
      <c r="AD15" s="49" t="s">
        <v>369</v>
      </c>
      <c r="AG15" s="50" t="s">
        <v>397</v>
      </c>
    </row>
    <row r="16" spans="1:35" x14ac:dyDescent="0.25">
      <c r="A16" s="25" t="s">
        <v>60</v>
      </c>
      <c r="B16" s="49"/>
      <c r="D16" s="49" t="s">
        <v>171</v>
      </c>
      <c r="H16" s="49"/>
      <c r="P16" s="49" t="s">
        <v>263</v>
      </c>
      <c r="Q16" s="50" t="s">
        <v>279</v>
      </c>
      <c r="AD16" s="49" t="s">
        <v>90</v>
      </c>
      <c r="AG16" s="49" t="s">
        <v>392</v>
      </c>
    </row>
    <row r="17" spans="1:33" x14ac:dyDescent="0.25">
      <c r="A17" s="25" t="s">
        <v>61</v>
      </c>
      <c r="B17" s="49"/>
      <c r="D17" s="49" t="s">
        <v>172</v>
      </c>
      <c r="H17" s="49"/>
      <c r="P17" s="49" t="s">
        <v>264</v>
      </c>
      <c r="Q17" s="49" t="s">
        <v>280</v>
      </c>
      <c r="AD17" s="49" t="s">
        <v>370</v>
      </c>
      <c r="AG17" s="49" t="s">
        <v>384</v>
      </c>
    </row>
    <row r="18" spans="1:33" x14ac:dyDescent="0.25">
      <c r="A18" s="25" t="s">
        <v>89</v>
      </c>
      <c r="B18" s="49"/>
      <c r="D18" s="49" t="s">
        <v>114</v>
      </c>
      <c r="P18" s="49" t="s">
        <v>265</v>
      </c>
      <c r="Q18" s="49" t="s">
        <v>281</v>
      </c>
      <c r="AD18" s="49" t="s">
        <v>371</v>
      </c>
      <c r="AG18" s="50" t="s">
        <v>398</v>
      </c>
    </row>
    <row r="19" spans="1:33" x14ac:dyDescent="0.25">
      <c r="A19" s="25" t="s">
        <v>62</v>
      </c>
      <c r="B19" s="49"/>
      <c r="D19" s="49" t="s">
        <v>173</v>
      </c>
      <c r="P19" s="50"/>
      <c r="Q19" s="50" t="s">
        <v>282</v>
      </c>
      <c r="AD19" s="49" t="s">
        <v>372</v>
      </c>
      <c r="AG19" s="49" t="s">
        <v>390</v>
      </c>
    </row>
    <row r="20" spans="1:33" x14ac:dyDescent="0.25">
      <c r="A20" s="25" t="s">
        <v>63</v>
      </c>
      <c r="D20" s="49" t="s">
        <v>174</v>
      </c>
      <c r="P20" s="49"/>
      <c r="Q20" s="49" t="s">
        <v>283</v>
      </c>
      <c r="AG20" s="50" t="s">
        <v>399</v>
      </c>
    </row>
    <row r="21" spans="1:33" x14ac:dyDescent="0.25">
      <c r="A21" s="25" t="s">
        <v>64</v>
      </c>
      <c r="D21" s="49" t="s">
        <v>175</v>
      </c>
      <c r="E21" s="2"/>
      <c r="P21" s="49"/>
      <c r="Q21" s="49" t="s">
        <v>284</v>
      </c>
      <c r="AG21" s="49" t="s">
        <v>393</v>
      </c>
    </row>
    <row r="22" spans="1:33" x14ac:dyDescent="0.25">
      <c r="A22" s="25" t="s">
        <v>65</v>
      </c>
      <c r="D22" s="49" t="s">
        <v>176</v>
      </c>
      <c r="P22" s="49"/>
      <c r="Q22" s="49" t="s">
        <v>285</v>
      </c>
      <c r="AG22" s="49"/>
    </row>
    <row r="23" spans="1:33" x14ac:dyDescent="0.25">
      <c r="A23" s="25" t="s">
        <v>66</v>
      </c>
      <c r="D23" s="49" t="s">
        <v>177</v>
      </c>
      <c r="P23" s="49"/>
      <c r="Q23" s="49" t="s">
        <v>286</v>
      </c>
      <c r="AG23" s="49"/>
    </row>
    <row r="24" spans="1:33" x14ac:dyDescent="0.25">
      <c r="A24" s="25" t="s">
        <v>67</v>
      </c>
      <c r="D24" s="49" t="s">
        <v>178</v>
      </c>
      <c r="P24" s="49"/>
      <c r="Q24" s="49" t="s">
        <v>287</v>
      </c>
      <c r="AG24" s="51"/>
    </row>
    <row r="25" spans="1:33" x14ac:dyDescent="0.25">
      <c r="A25" s="25" t="s">
        <v>68</v>
      </c>
      <c r="D25" s="49" t="s">
        <v>179</v>
      </c>
      <c r="P25" s="49"/>
      <c r="Q25" s="49" t="s">
        <v>288</v>
      </c>
    </row>
    <row r="26" spans="1:33" x14ac:dyDescent="0.25">
      <c r="A26" s="25" t="s">
        <v>69</v>
      </c>
      <c r="D26" s="49" t="s">
        <v>180</v>
      </c>
      <c r="P26" s="49"/>
      <c r="Q26" s="50" t="s">
        <v>289</v>
      </c>
    </row>
    <row r="27" spans="1:33" x14ac:dyDescent="0.25">
      <c r="A27" s="25" t="s">
        <v>70</v>
      </c>
      <c r="D27" s="49" t="s">
        <v>181</v>
      </c>
      <c r="P27" s="51"/>
      <c r="Q27" s="49" t="s">
        <v>83</v>
      </c>
    </row>
    <row r="28" spans="1:33" x14ac:dyDescent="0.25">
      <c r="A28" s="25" t="s">
        <v>71</v>
      </c>
      <c r="D28" s="49" t="s">
        <v>182</v>
      </c>
      <c r="P28" s="49"/>
      <c r="Q28" s="50" t="s">
        <v>290</v>
      </c>
    </row>
    <row r="29" spans="1:33" x14ac:dyDescent="0.25">
      <c r="A29" s="25" t="s">
        <v>72</v>
      </c>
      <c r="D29" s="49" t="s">
        <v>183</v>
      </c>
      <c r="P29" s="49"/>
      <c r="Q29" s="50" t="s">
        <v>291</v>
      </c>
    </row>
    <row r="30" spans="1:33" x14ac:dyDescent="0.25">
      <c r="A30" s="25" t="s">
        <v>73</v>
      </c>
      <c r="D30" s="49" t="s">
        <v>184</v>
      </c>
      <c r="P30" s="49"/>
      <c r="Q30" s="49" t="s">
        <v>292</v>
      </c>
    </row>
    <row r="31" spans="1:33" x14ac:dyDescent="0.25">
      <c r="A31" s="25" t="s">
        <v>74</v>
      </c>
      <c r="D31" s="49" t="s">
        <v>185</v>
      </c>
      <c r="P31" s="49"/>
      <c r="Q31" s="49" t="s">
        <v>293</v>
      </c>
    </row>
    <row r="32" spans="1:33" x14ac:dyDescent="0.25">
      <c r="A32" s="25" t="s">
        <v>75</v>
      </c>
      <c r="D32" s="50" t="s">
        <v>189</v>
      </c>
      <c r="P32" s="49"/>
      <c r="Q32" s="50" t="s">
        <v>294</v>
      </c>
    </row>
    <row r="33" spans="1:17" x14ac:dyDescent="0.25">
      <c r="A33" s="25" t="s">
        <v>76</v>
      </c>
      <c r="D33" s="25" t="s">
        <v>186</v>
      </c>
      <c r="P33" s="49"/>
      <c r="Q33" s="49"/>
    </row>
    <row r="34" spans="1:17" x14ac:dyDescent="0.25">
      <c r="A34" s="25" t="s">
        <v>92</v>
      </c>
      <c r="D34" s="25" t="s">
        <v>188</v>
      </c>
    </row>
    <row r="35" spans="1:17" x14ac:dyDescent="0.25">
      <c r="A35" s="25" t="s">
        <v>77</v>
      </c>
      <c r="D35" s="25" t="s">
        <v>187</v>
      </c>
    </row>
  </sheetData>
  <pageMargins left="0.7" right="0.7" top="0.75" bottom="0.75" header="0.3" footer="0.3"/>
  <pageSetup orientation="portrait" horizontalDpi="4294967294" verticalDpi="0" r:id="rId1"/>
  <tableParts count="3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B779F3C50FEF49947DFDCD5DE47820" ma:contentTypeVersion="1" ma:contentTypeDescription="Create a new document." ma:contentTypeScope="" ma:versionID="549c385ad2ad7597b8fa6bedc84cf604">
  <xsd:schema xmlns:xsd="http://www.w3.org/2001/XMLSchema" xmlns:xs="http://www.w3.org/2001/XMLSchema" xmlns:p="http://schemas.microsoft.com/office/2006/metadata/properties" xmlns:ns2="9d470df7-89ab-491f-b0b0-26369e2267dd" targetNamespace="http://schemas.microsoft.com/office/2006/metadata/properties" ma:root="true" ma:fieldsID="b6a756ebb3e1f3646d959e0e674f8eca" ns2:_="">
    <xsd:import namespace="9d470df7-89ab-491f-b0b0-26369e2267dd"/>
    <xsd:element name="properties">
      <xsd:complexType>
        <xsd:sequence>
          <xsd:element name="documentManagement">
            <xsd:complexType>
              <xsd:all>
                <xsd:element ref="ns2:Versi_x00f3_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470df7-89ab-491f-b0b0-26369e2267dd" elementFormDefault="qualified">
    <xsd:import namespace="http://schemas.microsoft.com/office/2006/documentManagement/types"/>
    <xsd:import namespace="http://schemas.microsoft.com/office/infopath/2007/PartnerControls"/>
    <xsd:element name="Versi_x00f3_n" ma:index="8" nillable="true" ma:displayName="Versión" ma:internalName="Versi_x00f3_n" ma:percentage="FALS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si_x00f3_n xmlns="9d470df7-89ab-491f-b0b0-26369e2267dd">4</Versi_x00f3_n>
  </documentManagement>
</p:properties>
</file>

<file path=customXml/itemProps1.xml><?xml version="1.0" encoding="utf-8"?>
<ds:datastoreItem xmlns:ds="http://schemas.openxmlformats.org/officeDocument/2006/customXml" ds:itemID="{D897972F-05AF-4B9F-A767-F33EF7D93D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470df7-89ab-491f-b0b0-26369e2267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46A48F-1DE8-4858-A820-006DECE408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705739-251F-4232-B5FA-7614BA6B3758}">
  <ds:schemaRefs>
    <ds:schemaRef ds:uri="http://schemas.microsoft.com/office/2006/metadata/properties"/>
    <ds:schemaRef ds:uri="http://www.w3.org/XML/1998/namespace"/>
    <ds:schemaRef ds:uri="9d470df7-89ab-491f-b0b0-26369e2267dd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42</vt:i4>
      </vt:variant>
    </vt:vector>
  </HeadingPairs>
  <TitlesOfParts>
    <vt:vector size="47" baseType="lpstr">
      <vt:lpstr>Control de Cambios</vt:lpstr>
      <vt:lpstr>Formato</vt:lpstr>
      <vt:lpstr>Instrucciones</vt:lpstr>
      <vt:lpstr>Listas</vt:lpstr>
      <vt:lpstr>Regionales</vt:lpstr>
      <vt:lpstr>Aprendiz</vt:lpstr>
      <vt:lpstr>Aprendiz_Contrato_Aprendizaje</vt:lpstr>
      <vt:lpstr>Centro_Acuicola_y_Agroindustrial_de_Gaira</vt:lpstr>
      <vt:lpstr>Centro_Agro_Empresarial_y_Acuicola</vt:lpstr>
      <vt:lpstr>Centro_Agro_Empresarial_y_Minero</vt:lpstr>
      <vt:lpstr>Centro_Agro_Empresarial_y_Turistico_de_los_Andes</vt:lpstr>
      <vt:lpstr>Centro_Agroecologico_y_Empresarial</vt:lpstr>
      <vt:lpstr>Centro_Agroempresarial</vt:lpstr>
      <vt:lpstr>Centro_Agroempresarial_y_Desarrollo_Pecuario_del_Huila</vt:lpstr>
      <vt:lpstr>Centro_Agroforestal_y_Acuicola_Arapaima</vt:lpstr>
      <vt:lpstr>Centro_Agroindustrial</vt:lpstr>
      <vt:lpstr>Centro_Agroindustrial_del_Meta</vt:lpstr>
      <vt:lpstr>Centro_Agroindustrial_y_Pesquero_de_la_Costa_Pacifica</vt:lpstr>
      <vt:lpstr>Centro_Agropecuario</vt:lpstr>
      <vt:lpstr>Centro_Agropecuario_de_Buga</vt:lpstr>
      <vt:lpstr>Centro_Agropecuario_la_Granja</vt:lpstr>
      <vt:lpstr>Centro_Agropecuario_y_de_Biotecnologia_El_Porvenir</vt:lpstr>
      <vt:lpstr>Centro_Agropecuario_y_de_Servicios_Ambientales_Jiri_Jirimo</vt:lpstr>
      <vt:lpstr>Centro_Ambiental_y_Ecoturistico_del_Nororiente_Amazonico</vt:lpstr>
      <vt:lpstr>Centro_Atencion_Sector_Agropecuario</vt:lpstr>
      <vt:lpstr>Centro_Automatizacion_Industrial</vt:lpstr>
      <vt:lpstr>Centro_de_Comercio</vt:lpstr>
      <vt:lpstr>Centro_de_Desarrollo_Agroindustrial_Turistico_y_Tecnologico</vt:lpstr>
      <vt:lpstr>Centro_de_Desarrollo_Agropecuario_y_Agroindustrial</vt:lpstr>
      <vt:lpstr>Centro_de_Electricidad_y_Electronica</vt:lpstr>
      <vt:lpstr>Centro_de_Formacion_Turistica_Gente_de_Mar_y_de_Servicios</vt:lpstr>
      <vt:lpstr>Centro_de_Gestion_y_Desarrollo_Agroindustrial_de_Arauca</vt:lpstr>
      <vt:lpstr>Centro_de_la_Innovacion_la_Tecnologia_y_los_Servicios</vt:lpstr>
      <vt:lpstr>Centro_de_Recursos_Naturales_Industria_y_Biodiversidad</vt:lpstr>
      <vt:lpstr>Centro_Tecnologico_de_la_Amazonia</vt:lpstr>
      <vt:lpstr>Contratista</vt:lpstr>
      <vt:lpstr>Contratista_Administrativo</vt:lpstr>
      <vt:lpstr>Dirección_General</vt:lpstr>
      <vt:lpstr>Funcionario_Administrativo</vt:lpstr>
      <vt:lpstr>Instructor_Contratista</vt:lpstr>
      <vt:lpstr>Instructor_Funcionario</vt:lpstr>
      <vt:lpstr>Planta</vt:lpstr>
      <vt:lpstr>Regional_Amazonas</vt:lpstr>
      <vt:lpstr>Regionales</vt:lpstr>
      <vt:lpstr>TipoContrato</vt:lpstr>
      <vt:lpstr>TipoSolicitud</vt:lpstr>
      <vt:lpstr>Trabajador_Oficial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GR-AC-F026D - Peticion de Acceso - DA y Correo Electronico v4</dc:title>
  <dc:creator>lavega1</dc:creator>
  <cp:lastModifiedBy>ADMIN</cp:lastModifiedBy>
  <cp:lastPrinted>2013-01-30T19:18:37Z</cp:lastPrinted>
  <dcterms:created xsi:type="dcterms:W3CDTF">2008-11-13T16:12:11Z</dcterms:created>
  <dcterms:modified xsi:type="dcterms:W3CDTF">2020-12-17T20:41:44Z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0x01010029B779F3C50FEF49947DFDCD5DE47820</vt:lpwstr>
  </property>
</Properties>
</file>